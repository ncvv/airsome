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verview" sheetId="1" r:id="rId4"/>
    <sheet name="Result" sheetId="2" r:id="rId5"/>
    <sheet name="Results_Helene" sheetId="3" r:id="rId6"/>
    <sheet name="Results_Dennis" sheetId="4" r:id="rId7"/>
  </sheets>
</workbook>
</file>

<file path=xl/sharedStrings.xml><?xml version="1.0" encoding="utf-8"?>
<sst xmlns="http://schemas.openxmlformats.org/spreadsheetml/2006/main" uniqueCount="136">
  <si>
    <t>Testing DM Projekt</t>
  </si>
  <si>
    <t xml:space="preserve">LEGENDE </t>
  </si>
  <si>
    <t>DRIN =0</t>
  </si>
  <si>
    <t>RAUS = 1</t>
  </si>
  <si>
    <t>FILL IN!</t>
  </si>
  <si>
    <t>Test No.</t>
  </si>
  <si>
    <t>Normale Spalten</t>
  </si>
  <si>
    <t>Amenities</t>
  </si>
  <si>
    <t>Transit tfidf</t>
  </si>
  <si>
    <t>Description tfidf</t>
  </si>
  <si>
    <t>Neighborhood tfidf</t>
  </si>
  <si>
    <t>House rules tfidf</t>
  </si>
  <si>
    <t>Spalte1</t>
  </si>
  <si>
    <t xml:space="preserve"> DONE?</t>
  </si>
  <si>
    <t>TASK FOR</t>
  </si>
  <si>
    <t>DONE</t>
  </si>
  <si>
    <t>CLASSIFIER\ACCURACY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</si>
  <si>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</si>
  <si>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</si>
  <si>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</si>
  <si>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</si>
  <si>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</si>
  <si>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</si>
  <si>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</si>
  <si>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</si>
  <si>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</si>
  <si>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</si>
  <si>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</si>
  <si>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</si>
  <si>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</si>
  <si>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</si>
  <si>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</si>
  <si>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</si>
  <si>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</si>
  <si>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</si>
  <si>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</si>
  <si>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</si>
  <si>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</si>
  <si>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</si>
  <si>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</si>
  <si>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</si>
  <si>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</si>
  <si>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</si>
  <si>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</si>
  <si>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</si>
  <si>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</si>
  <si>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</si>
  <si>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</si>
  <si>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</si>
  <si>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</si>
  <si>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</si>
  <si>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</si>
  <si>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</si>
  <si>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</si>
  <si>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</si>
  <si>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</si>
  <si>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</si>
  <si>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</si>
  <si>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</si>
  <si>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</si>
  <si>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</si>
  <si>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</si>
  <si>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</si>
  <si>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</si>
  <si>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</si>
  <si>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</si>
  <si>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</si>
  <si>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</si>
  <si>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</si>
  <si>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</si>
  <si>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</si>
  <si>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</si>
  <si>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</si>
  <si>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</si>
  <si>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</si>
  <si>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</si>
  <si>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</si>
  <si>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</si>
  <si>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</si>
  <si>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</si>
  <si>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</si>
  <si>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MAX</t>
  </si>
  <si>
    <t>Naive Bayes</t>
  </si>
  <si>
    <t>44.88</t>
  </si>
  <si>
    <t>44.28</t>
  </si>
  <si>
    <t>45.18</t>
  </si>
  <si>
    <t>43.98</t>
  </si>
  <si>
    <t>45.26</t>
  </si>
  <si>
    <t>43.90</t>
  </si>
  <si>
    <t>44.73</t>
  </si>
  <si>
    <t>44.20</t>
  </si>
  <si>
    <t>44.58</t>
  </si>
  <si>
    <t>45.71</t>
  </si>
  <si>
    <t>44.65</t>
  </si>
  <si>
    <t>45.41</t>
  </si>
  <si>
    <t>44.35</t>
  </si>
  <si>
    <t>44.95</t>
  </si>
  <si>
    <t>44.05</t>
  </si>
  <si>
    <t>44.80</t>
  </si>
  <si>
    <t>KNN</t>
  </si>
  <si>
    <t>34.64</t>
  </si>
  <si>
    <t>34.71</t>
  </si>
  <si>
    <t>34.79</t>
  </si>
  <si>
    <t>Decision Tree</t>
  </si>
  <si>
    <t>52.64</t>
  </si>
  <si>
    <t>53.53</t>
  </si>
  <si>
    <t>53.54</t>
  </si>
  <si>
    <t>52.71</t>
  </si>
  <si>
    <t>SVM</t>
  </si>
  <si>
    <t>36.60</t>
  </si>
  <si>
    <t>36.90</t>
  </si>
  <si>
    <t>36.67</t>
  </si>
  <si>
    <t>37.05</t>
  </si>
  <si>
    <t>36.45</t>
  </si>
  <si>
    <t>36.52</t>
  </si>
  <si>
    <t>35.69</t>
  </si>
  <si>
    <t>36.97</t>
  </si>
  <si>
    <t>35.39</t>
  </si>
  <si>
    <t>36.30</t>
  </si>
  <si>
    <t>35.47</t>
  </si>
  <si>
    <t>35.77</t>
  </si>
  <si>
    <t>35.62</t>
  </si>
  <si>
    <t>36.07</t>
  </si>
  <si>
    <t>Nearest Centroid</t>
  </si>
  <si>
    <t>33.96</t>
  </si>
  <si>
    <t>num_labels</t>
  </si>
  <si>
    <t>long_tfidf</t>
  </si>
  <si>
    <t>Accuracy_nb</t>
  </si>
  <si>
    <t>Accuracy_knn</t>
  </si>
  <si>
    <t>value of k</t>
  </si>
  <si>
    <t>Accuracy_dt</t>
  </si>
  <si>
    <t>Accuracy_svm</t>
  </si>
  <si>
    <t>Accuracy_nc</t>
  </si>
  <si>
    <t>Max_acc</t>
  </si>
  <si>
    <t>True</t>
  </si>
  <si>
    <t>False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</si>
</sst>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2"/>
      <color indexed="8"/>
      <name val="Calibri"/>
    </font>
    <font>
      <sz val="12"/>
      <color indexed="8"/>
      <name val="Helvetica"/>
    </font>
    <font>
      <sz val="15"/>
      <color indexed="8"/>
      <name val="Calibri"/>
    </font>
    <font>
      <b val="1"/>
      <sz val="12"/>
      <color indexed="8"/>
      <name val="Calibri"/>
    </font>
    <font>
      <b val="1"/>
      <sz val="12"/>
      <color indexed="14"/>
      <name val="Calibri"/>
    </font>
    <font>
      <sz val="12"/>
      <color indexed="14"/>
      <name val="Calibri"/>
    </font>
    <font>
      <sz val="11"/>
      <color indexed="8"/>
      <name val="Menlo"/>
    </font>
    <font>
      <sz val="11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</fills>
  <borders count="2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6"/>
      </bottom>
      <diagonal/>
    </border>
    <border>
      <left style="thin">
        <color indexed="10"/>
      </left>
      <right style="thin">
        <color indexed="16"/>
      </right>
      <top style="thin">
        <color indexed="10"/>
      </top>
      <bottom/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6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6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vertical="bottom"/>
    </xf>
    <xf numFmtId="49" fontId="4" fillId="4" borderId="8" applyNumberFormat="1" applyFont="1" applyFill="1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bottom"/>
    </xf>
    <xf numFmtId="0" fontId="4" fillId="5" borderId="9" applyNumberFormat="1" applyFont="1" applyFill="1" applyBorder="1" applyAlignment="1" applyProtection="0">
      <alignment vertical="bottom"/>
    </xf>
    <xf numFmtId="0" fontId="5" fillId="5" borderId="10" applyNumberFormat="1" applyFont="1" applyFill="1" applyBorder="1" applyAlignment="1" applyProtection="0">
      <alignment vertical="bottom"/>
    </xf>
    <xf numFmtId="49" fontId="5" fillId="5" borderId="10" applyNumberFormat="1" applyFont="1" applyFill="1" applyBorder="1" applyAlignment="1" applyProtection="0">
      <alignment vertical="bottom"/>
    </xf>
    <xf numFmtId="0" fontId="0" fillId="4" borderId="11" applyNumberFormat="1" applyFont="1" applyFill="1" applyBorder="1" applyAlignment="1" applyProtection="0">
      <alignment vertical="bottom"/>
    </xf>
    <xf numFmtId="0" fontId="4" fillId="4" borderId="12" applyNumberFormat="1" applyFont="1" applyFill="1" applyBorder="1" applyAlignment="1" applyProtection="0">
      <alignment vertical="bottom"/>
    </xf>
    <xf numFmtId="0" fontId="5" fillId="4" borderId="12" applyNumberFormat="1" applyFont="1" applyFill="1" applyBorder="1" applyAlignment="1" applyProtection="0">
      <alignment vertical="bottom"/>
    </xf>
    <xf numFmtId="49" fontId="5" fillId="4" borderId="12" applyNumberFormat="1" applyFont="1" applyFill="1" applyBorder="1" applyAlignment="1" applyProtection="0">
      <alignment vertical="bottom"/>
    </xf>
    <xf numFmtId="0" fontId="4" fillId="5" borderId="13" applyNumberFormat="1" applyFont="1" applyFill="1" applyBorder="1" applyAlignment="1" applyProtection="0">
      <alignment vertical="bottom"/>
    </xf>
    <xf numFmtId="0" fontId="5" fillId="5" borderId="14" applyNumberFormat="1" applyFont="1" applyFill="1" applyBorder="1" applyAlignment="1" applyProtection="0">
      <alignment vertical="bottom"/>
    </xf>
    <xf numFmtId="49" fontId="5" fillId="5" borderId="14" applyNumberFormat="1" applyFont="1" applyFill="1" applyBorder="1" applyAlignment="1" applyProtection="0">
      <alignment vertical="bottom"/>
    </xf>
    <xf numFmtId="0" fontId="4" fillId="4" borderId="15" applyNumberFormat="1" applyFont="1" applyFill="1" applyBorder="1" applyAlignment="1" applyProtection="0">
      <alignment vertical="bottom"/>
    </xf>
    <xf numFmtId="0" fontId="5" fillId="4" borderId="15" applyNumberFormat="1" applyFont="1" applyFill="1" applyBorder="1" applyAlignment="1" applyProtection="0">
      <alignment vertical="bottom"/>
    </xf>
    <xf numFmtId="0" fontId="0" fillId="4" borderId="1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4" borderId="17" applyNumberFormat="1" applyFont="1" applyFill="1" applyBorder="1" applyAlignment="1" applyProtection="0">
      <alignment vertical="bottom"/>
    </xf>
    <xf numFmtId="49" fontId="0" fillId="4" borderId="4" applyNumberFormat="1" applyFont="1" applyFill="1" applyBorder="1" applyAlignment="1" applyProtection="0">
      <alignment vertical="bottom"/>
    </xf>
    <xf numFmtId="0" fontId="0" fillId="4" borderId="18" applyNumberFormat="1" applyFont="1" applyFill="1" applyBorder="1" applyAlignment="1" applyProtection="0">
      <alignment vertical="bottom"/>
    </xf>
    <xf numFmtId="49" fontId="3" fillId="6" borderId="19" applyNumberFormat="1" applyFont="1" applyFill="1" applyBorder="1" applyAlignment="1" applyProtection="0">
      <alignment vertical="bottom"/>
    </xf>
    <xf numFmtId="0" fontId="0" fillId="4" borderId="20" applyNumberFormat="1" applyFont="1" applyFill="1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49" fontId="0" fillId="2" borderId="22" applyNumberFormat="1" applyFont="1" applyFill="1" applyBorder="1" applyAlignment="1" applyProtection="0">
      <alignment vertical="bottom"/>
    </xf>
    <xf numFmtId="49" fontId="0" fillId="7" borderId="19" applyNumberFormat="1" applyFont="1" applyFill="1" applyBorder="1" applyAlignment="1" applyProtection="0">
      <alignment vertical="bottom"/>
    </xf>
    <xf numFmtId="0" fontId="0" fillId="7" borderId="19" applyNumberFormat="1" applyFont="1" applyFill="1" applyBorder="1" applyAlignment="1" applyProtection="0">
      <alignment vertical="bottom"/>
    </xf>
    <xf numFmtId="49" fontId="0" fillId="6" borderId="19" applyNumberFormat="1" applyFont="1" applyFill="1" applyBorder="1" applyAlignment="1" applyProtection="0">
      <alignment vertical="bottom"/>
    </xf>
    <xf numFmtId="0" fontId="0" fillId="6" borderId="19" applyNumberFormat="1" applyFont="1" applyFill="1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fillId="4" borderId="23" applyNumberFormat="1" applyFont="1" applyFill="1" applyBorder="1" applyAlignment="1" applyProtection="0">
      <alignment vertical="bottom"/>
    </xf>
    <xf numFmtId="49" fontId="0" fillId="2" borderId="14" applyNumberFormat="1" applyFont="1" applyFill="1" applyBorder="1" applyAlignment="1" applyProtection="0">
      <alignment vertical="bottom"/>
    </xf>
    <xf numFmtId="2" fontId="0" fillId="4" borderId="11" applyNumberFormat="1" applyFont="1" applyFill="1" applyBorder="1" applyAlignment="1" applyProtection="0">
      <alignment vertical="bottom"/>
    </xf>
    <xf numFmtId="2" fontId="0" fillId="4" borderId="4" applyNumberFormat="1" applyFont="1" applyFill="1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0" fontId="0" fillId="4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4" borderId="4" applyNumberFormat="1" applyFont="1" applyFill="1" applyBorder="1" applyAlignment="1" applyProtection="0">
      <alignment horizontal="right" vertical="bottom"/>
    </xf>
    <xf numFmtId="0" fontId="0" borderId="4" applyNumberFormat="1" applyFont="1" applyFill="0" applyBorder="1" applyAlignment="1" applyProtection="0">
      <alignment horizontal="right" vertical="bottom"/>
    </xf>
    <xf numFmtId="0" fontId="0" fillId="4" borderId="4" applyNumberFormat="1" applyFont="1" applyFill="1" applyBorder="1" applyAlignment="1" applyProtection="0">
      <alignment horizontal="right" vertical="bottom"/>
    </xf>
    <xf numFmtId="10" fontId="6" fillId="4" borderId="4" applyNumberFormat="1" applyFont="1" applyFill="1" applyBorder="1" applyAlignment="1" applyProtection="0">
      <alignment horizontal="right" vertical="bottom"/>
    </xf>
    <xf numFmtId="10" fontId="0" fillId="4" borderId="4" applyNumberFormat="1" applyFont="1" applyFill="1" applyBorder="1" applyAlignment="1" applyProtection="0">
      <alignment horizontal="right" vertical="bottom"/>
    </xf>
    <xf numFmtId="10" fontId="7" fillId="4" borderId="4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79646"/>
      <rgbColor rgb="ffaaaaaa"/>
      <rgbColor rgb="ff4bacc6"/>
      <rgbColor rgb="ffff0000"/>
      <rgbColor rgb="ffffffff"/>
      <rgbColor rgb="ff388194"/>
      <rgbColor rgb="ffdaeef3"/>
      <rgbColor rgb="ffc2d69b"/>
      <rgbColor rgb="ffeaf1dd"/>
      <rgbColor rgb="ffd6e3b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-Design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-Design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-Desig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6"/>
  <sheetViews>
    <sheetView workbookViewId="0" showGridLines="0" defaultGridColor="1"/>
  </sheetViews>
  <sheetFormatPr defaultColWidth="10.7143" defaultRowHeight="15" customHeight="1" outlineLevelRow="0" outlineLevelCol="0"/>
  <cols>
    <col min="1" max="1" width="10.7344" style="1" customWidth="1"/>
    <col min="2" max="2" width="16.7344" style="1" customWidth="1"/>
    <col min="3" max="3" width="10.7344" style="1" customWidth="1"/>
    <col min="4" max="4" width="12.2891" style="1" customWidth="1"/>
    <col min="5" max="5" width="16.1562" style="1" customWidth="1"/>
    <col min="6" max="6" width="18.7344" style="1" customWidth="1"/>
    <col min="7" max="7" width="16.2891" style="1" customWidth="1"/>
    <col min="8" max="8" width="10.7344" style="1" customWidth="1"/>
    <col min="9" max="9" width="10.7344" style="1" customWidth="1"/>
    <col min="10" max="10" width="10.7344" style="1" customWidth="1"/>
    <col min="11" max="11" width="10.7344" style="1" customWidth="1"/>
    <col min="12" max="256" width="10.7344" style="1" customWidth="1"/>
  </cols>
  <sheetData>
    <row r="1" ht="17" customHeight="1">
      <c r="A1" t="s" s="2">
        <v>0</v>
      </c>
      <c r="B1" s="3"/>
      <c r="C1" s="3"/>
      <c r="D1" s="3"/>
      <c r="E1" s="3"/>
      <c r="F1" s="3"/>
      <c r="G1" s="3"/>
      <c r="H1" s="3"/>
      <c r="I1" s="4"/>
      <c r="J1" s="5"/>
      <c r="K1" s="5"/>
    </row>
    <row r="2" ht="17" customHeight="1">
      <c r="A2" s="6"/>
      <c r="B2" t="s" s="7">
        <v>1</v>
      </c>
      <c r="C2" t="s" s="7">
        <v>2</v>
      </c>
      <c r="D2" t="s" s="7">
        <v>3</v>
      </c>
      <c r="E2" s="8"/>
      <c r="F2" s="8"/>
      <c r="G2" s="8"/>
      <c r="H2" s="8"/>
      <c r="I2" t="s" s="9">
        <v>4</v>
      </c>
      <c r="J2" s="10"/>
      <c r="K2" s="5"/>
    </row>
    <row r="3" ht="17" customHeight="1">
      <c r="A3" t="s" s="11">
        <v>5</v>
      </c>
      <c r="B3" t="s" s="11">
        <v>6</v>
      </c>
      <c r="C3" t="s" s="11">
        <v>7</v>
      </c>
      <c r="D3" t="s" s="11">
        <v>8</v>
      </c>
      <c r="E3" t="s" s="11">
        <v>9</v>
      </c>
      <c r="F3" t="s" s="11">
        <v>10</v>
      </c>
      <c r="G3" t="s" s="11">
        <v>11</v>
      </c>
      <c r="H3" t="s" s="11">
        <v>12</v>
      </c>
      <c r="I3" t="s" s="11">
        <v>13</v>
      </c>
      <c r="J3" t="s" s="11">
        <v>14</v>
      </c>
      <c r="K3" s="12"/>
    </row>
    <row r="4" ht="17" customHeight="1">
      <c r="A4" s="13">
        <v>1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f>G4*1+F4*2+E4*4+D4*8+C4*16+B4*32</f>
        <v>0</v>
      </c>
      <c r="I4" t="s" s="15">
        <v>15</v>
      </c>
      <c r="J4" s="14"/>
      <c r="K4" s="16"/>
    </row>
    <row r="5" ht="17" customHeight="1">
      <c r="A5" s="17">
        <v>2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1</v>
      </c>
      <c r="H5" s="18">
        <f>G5*1+F5*2+E5*4+D5*8+C5*16+B5*32</f>
        <v>1</v>
      </c>
      <c r="I5" t="s" s="19">
        <v>15</v>
      </c>
      <c r="J5" s="18"/>
      <c r="K5" s="12"/>
    </row>
    <row r="6" ht="17" customHeight="1">
      <c r="A6" s="20">
        <v>3</v>
      </c>
      <c r="B6" s="21">
        <v>0</v>
      </c>
      <c r="C6" s="21">
        <v>0</v>
      </c>
      <c r="D6" s="21">
        <v>0</v>
      </c>
      <c r="E6" s="21">
        <v>0</v>
      </c>
      <c r="F6" s="21">
        <v>1</v>
      </c>
      <c r="G6" s="21">
        <v>0</v>
      </c>
      <c r="H6" s="21">
        <f>G6*1+F6*2+E6*4+D6*8+C6*16+B6*32</f>
        <v>2</v>
      </c>
      <c r="I6" t="s" s="22">
        <v>15</v>
      </c>
      <c r="J6" s="21"/>
      <c r="K6" s="16"/>
    </row>
    <row r="7" ht="17" customHeight="1">
      <c r="A7" s="17">
        <v>4</v>
      </c>
      <c r="B7" s="18">
        <v>0</v>
      </c>
      <c r="C7" s="18">
        <v>0</v>
      </c>
      <c r="D7" s="18">
        <v>0</v>
      </c>
      <c r="E7" s="18">
        <v>0</v>
      </c>
      <c r="F7" s="18">
        <v>1</v>
      </c>
      <c r="G7" s="18">
        <v>1</v>
      </c>
      <c r="H7" s="18">
        <f>G7*1+F7*2+E7*4+D7*8+C7*16+B7*32</f>
        <v>3</v>
      </c>
      <c r="I7" t="s" s="19">
        <v>15</v>
      </c>
      <c r="J7" s="18"/>
      <c r="K7" s="12"/>
    </row>
    <row r="8" ht="17" customHeight="1">
      <c r="A8" s="20">
        <v>5</v>
      </c>
      <c r="B8" s="21">
        <v>0</v>
      </c>
      <c r="C8" s="21">
        <v>0</v>
      </c>
      <c r="D8" s="21">
        <v>0</v>
      </c>
      <c r="E8" s="21">
        <v>1</v>
      </c>
      <c r="F8" s="21">
        <v>0</v>
      </c>
      <c r="G8" s="21">
        <v>0</v>
      </c>
      <c r="H8" s="21">
        <f>G8*1+F8*2+E8*4+D8*8+C8*16+B8*32</f>
        <v>4</v>
      </c>
      <c r="I8" t="s" s="22">
        <v>15</v>
      </c>
      <c r="J8" s="21"/>
      <c r="K8" s="16"/>
    </row>
    <row r="9" ht="17" customHeight="1">
      <c r="A9" s="17">
        <v>6</v>
      </c>
      <c r="B9" s="18">
        <v>0</v>
      </c>
      <c r="C9" s="18">
        <v>0</v>
      </c>
      <c r="D9" s="18">
        <v>0</v>
      </c>
      <c r="E9" s="18">
        <v>1</v>
      </c>
      <c r="F9" s="18">
        <v>0</v>
      </c>
      <c r="G9" s="18">
        <v>1</v>
      </c>
      <c r="H9" s="18">
        <f>G9*1+F9*2+E9*4+D9*8+C9*16+B9*32</f>
        <v>5</v>
      </c>
      <c r="I9" t="s" s="19">
        <v>15</v>
      </c>
      <c r="J9" s="18"/>
      <c r="K9" s="12"/>
    </row>
    <row r="10" ht="17" customHeight="1">
      <c r="A10" s="20">
        <v>7</v>
      </c>
      <c r="B10" s="21">
        <v>0</v>
      </c>
      <c r="C10" s="21">
        <v>0</v>
      </c>
      <c r="D10" s="21">
        <v>0</v>
      </c>
      <c r="E10" s="21">
        <v>1</v>
      </c>
      <c r="F10" s="21">
        <v>1</v>
      </c>
      <c r="G10" s="21">
        <v>0</v>
      </c>
      <c r="H10" s="21">
        <f>G10*1+F10*2+E10*4+D10*8+C10*16+B10*32</f>
        <v>6</v>
      </c>
      <c r="I10" t="s" s="22">
        <v>15</v>
      </c>
      <c r="J10" s="21"/>
      <c r="K10" s="16"/>
    </row>
    <row r="11" ht="17" customHeight="1">
      <c r="A11" s="17">
        <v>8</v>
      </c>
      <c r="B11" s="18">
        <v>0</v>
      </c>
      <c r="C11" s="18">
        <v>0</v>
      </c>
      <c r="D11" s="18">
        <v>0</v>
      </c>
      <c r="E11" s="18">
        <v>1</v>
      </c>
      <c r="F11" s="18">
        <v>1</v>
      </c>
      <c r="G11" s="18">
        <v>1</v>
      </c>
      <c r="H11" s="18">
        <f>G11*1+F11*2+E11*4+D11*8+C11*16+B11*32</f>
        <v>7</v>
      </c>
      <c r="I11" t="s" s="19">
        <v>15</v>
      </c>
      <c r="J11" s="18"/>
      <c r="K11" s="12"/>
    </row>
    <row r="12" ht="17" customHeight="1">
      <c r="A12" s="20">
        <v>9</v>
      </c>
      <c r="B12" s="21">
        <v>0</v>
      </c>
      <c r="C12" s="21">
        <v>0</v>
      </c>
      <c r="D12" s="21">
        <v>1</v>
      </c>
      <c r="E12" s="21">
        <v>0</v>
      </c>
      <c r="F12" s="21">
        <v>0</v>
      </c>
      <c r="G12" s="21">
        <v>0</v>
      </c>
      <c r="H12" s="21">
        <f>G12*1+F12*2+E12*4+D12*8+C12*16+B12*32</f>
        <v>8</v>
      </c>
      <c r="I12" t="s" s="22">
        <v>15</v>
      </c>
      <c r="J12" s="21"/>
      <c r="K12" s="16"/>
    </row>
    <row r="13" ht="17" customHeight="1">
      <c r="A13" s="17">
        <v>10</v>
      </c>
      <c r="B13" s="18">
        <v>0</v>
      </c>
      <c r="C13" s="18">
        <v>0</v>
      </c>
      <c r="D13" s="18">
        <v>1</v>
      </c>
      <c r="E13" s="18">
        <v>0</v>
      </c>
      <c r="F13" s="18">
        <v>0</v>
      </c>
      <c r="G13" s="18">
        <v>1</v>
      </c>
      <c r="H13" s="18">
        <f>G13*1+F13*2+E13*4+D13*8+C13*16+B13*32</f>
        <v>9</v>
      </c>
      <c r="I13" t="s" s="19">
        <v>15</v>
      </c>
      <c r="J13" s="18"/>
      <c r="K13" s="12"/>
    </row>
    <row r="14" ht="17" customHeight="1">
      <c r="A14" s="20">
        <v>11</v>
      </c>
      <c r="B14" s="21">
        <v>0</v>
      </c>
      <c r="C14" s="21">
        <v>0</v>
      </c>
      <c r="D14" s="21">
        <v>1</v>
      </c>
      <c r="E14" s="21">
        <v>0</v>
      </c>
      <c r="F14" s="21">
        <v>1</v>
      </c>
      <c r="G14" s="21">
        <v>0</v>
      </c>
      <c r="H14" s="21">
        <f>G14*1+F14*2+E14*4+D14*8+C14*16+B14*32</f>
        <v>10</v>
      </c>
      <c r="I14" t="s" s="22">
        <v>15</v>
      </c>
      <c r="J14" s="21"/>
      <c r="K14" s="16"/>
    </row>
    <row r="15" ht="17" customHeight="1">
      <c r="A15" s="17">
        <v>12</v>
      </c>
      <c r="B15" s="18">
        <v>0</v>
      </c>
      <c r="C15" s="18">
        <v>0</v>
      </c>
      <c r="D15" s="18">
        <v>1</v>
      </c>
      <c r="E15" s="18">
        <v>0</v>
      </c>
      <c r="F15" s="18">
        <v>1</v>
      </c>
      <c r="G15" s="18">
        <v>1</v>
      </c>
      <c r="H15" s="18">
        <f>G15*1+F15*2+E15*4+D15*8+C15*16+B15*32</f>
        <v>11</v>
      </c>
      <c r="I15" t="s" s="19">
        <v>15</v>
      </c>
      <c r="J15" s="18"/>
      <c r="K15" s="12"/>
    </row>
    <row r="16" ht="17" customHeight="1">
      <c r="A16" s="20">
        <v>13</v>
      </c>
      <c r="B16" s="21">
        <v>0</v>
      </c>
      <c r="C16" s="21">
        <v>0</v>
      </c>
      <c r="D16" s="21">
        <v>1</v>
      </c>
      <c r="E16" s="21">
        <v>1</v>
      </c>
      <c r="F16" s="21">
        <v>0</v>
      </c>
      <c r="G16" s="21">
        <v>0</v>
      </c>
      <c r="H16" s="21">
        <f>G16*1+F16*2+E16*4+D16*8+C16*16+B16*32</f>
        <v>12</v>
      </c>
      <c r="I16" t="s" s="22">
        <v>15</v>
      </c>
      <c r="J16" s="21"/>
      <c r="K16" s="16"/>
    </row>
    <row r="17" ht="17" customHeight="1">
      <c r="A17" s="17">
        <v>14</v>
      </c>
      <c r="B17" s="18">
        <v>0</v>
      </c>
      <c r="C17" s="18">
        <v>0</v>
      </c>
      <c r="D17" s="18">
        <v>1</v>
      </c>
      <c r="E17" s="18">
        <v>1</v>
      </c>
      <c r="F17" s="18">
        <v>0</v>
      </c>
      <c r="G17" s="18">
        <v>1</v>
      </c>
      <c r="H17" s="18">
        <f>G17*1+F17*2+E17*4+D17*8+C17*16+B17*32</f>
        <v>13</v>
      </c>
      <c r="I17" t="s" s="19">
        <v>15</v>
      </c>
      <c r="J17" s="18"/>
      <c r="K17" s="12"/>
    </row>
    <row r="18" ht="17" customHeight="1">
      <c r="A18" s="20">
        <v>15</v>
      </c>
      <c r="B18" s="21">
        <v>0</v>
      </c>
      <c r="C18" s="21">
        <v>0</v>
      </c>
      <c r="D18" s="21">
        <v>1</v>
      </c>
      <c r="E18" s="21">
        <v>1</v>
      </c>
      <c r="F18" s="21">
        <v>1</v>
      </c>
      <c r="G18" s="21">
        <v>0</v>
      </c>
      <c r="H18" s="21">
        <f>G18*1+F18*2+E18*4+D18*8+C18*16+B18*32</f>
        <v>14</v>
      </c>
      <c r="I18" t="s" s="22">
        <v>15</v>
      </c>
      <c r="J18" s="21"/>
      <c r="K18" s="16"/>
    </row>
    <row r="19" ht="17" customHeight="1">
      <c r="A19" s="17">
        <v>16</v>
      </c>
      <c r="B19" s="18">
        <v>0</v>
      </c>
      <c r="C19" s="18">
        <v>0</v>
      </c>
      <c r="D19" s="18">
        <v>1</v>
      </c>
      <c r="E19" s="18">
        <v>1</v>
      </c>
      <c r="F19" s="18">
        <v>1</v>
      </c>
      <c r="G19" s="18">
        <v>1</v>
      </c>
      <c r="H19" s="18">
        <f>G19*1+F19*2+E19*4+D19*8+C19*16+B19*32</f>
        <v>15</v>
      </c>
      <c r="I19" t="s" s="19">
        <v>15</v>
      </c>
      <c r="J19" s="18"/>
      <c r="K19" s="12"/>
    </row>
    <row r="20" ht="17" customHeight="1">
      <c r="A20" s="20">
        <v>17</v>
      </c>
      <c r="B20" s="21">
        <v>0</v>
      </c>
      <c r="C20" s="21">
        <v>1</v>
      </c>
      <c r="D20" s="21">
        <v>0</v>
      </c>
      <c r="E20" s="21">
        <v>0</v>
      </c>
      <c r="F20" s="21">
        <v>0</v>
      </c>
      <c r="G20" s="21">
        <v>0</v>
      </c>
      <c r="H20" s="21">
        <f>G20*1+F20*2+E20*4+D20*8+C20*16+B20*32</f>
        <v>16</v>
      </c>
      <c r="I20" t="s" s="22">
        <v>15</v>
      </c>
      <c r="J20" s="21"/>
      <c r="K20" s="16"/>
    </row>
    <row r="21" ht="17" customHeight="1">
      <c r="A21" s="17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0</v>
      </c>
      <c r="G21" s="18">
        <v>1</v>
      </c>
      <c r="H21" s="18">
        <f>G21*1+F21*2+E21*4+D21*8+C21*16+B21*32</f>
        <v>17</v>
      </c>
      <c r="I21" t="s" s="19">
        <v>15</v>
      </c>
      <c r="J21" s="18"/>
      <c r="K21" s="12"/>
    </row>
    <row r="22" ht="17" customHeight="1">
      <c r="A22" s="20">
        <v>19</v>
      </c>
      <c r="B22" s="21">
        <v>0</v>
      </c>
      <c r="C22" s="21">
        <v>1</v>
      </c>
      <c r="D22" s="21">
        <v>0</v>
      </c>
      <c r="E22" s="21">
        <v>0</v>
      </c>
      <c r="F22" s="21">
        <v>1</v>
      </c>
      <c r="G22" s="21">
        <v>0</v>
      </c>
      <c r="H22" s="21">
        <f>G22*1+F22*2+E22*4+D22*8+C22*16+B22*32</f>
        <v>18</v>
      </c>
      <c r="I22" t="s" s="22">
        <v>15</v>
      </c>
      <c r="J22" s="21"/>
      <c r="K22" s="16"/>
    </row>
    <row r="23" ht="17" customHeight="1">
      <c r="A23" s="17">
        <v>20</v>
      </c>
      <c r="B23" s="18">
        <v>0</v>
      </c>
      <c r="C23" s="18">
        <v>1</v>
      </c>
      <c r="D23" s="18">
        <v>0</v>
      </c>
      <c r="E23" s="18">
        <v>0</v>
      </c>
      <c r="F23" s="18">
        <v>1</v>
      </c>
      <c r="G23" s="18">
        <v>1</v>
      </c>
      <c r="H23" s="18">
        <f>G23*1+F23*2+E23*4+D23*8+C23*16+B23*32</f>
        <v>19</v>
      </c>
      <c r="I23" t="s" s="19">
        <v>15</v>
      </c>
      <c r="J23" s="18"/>
      <c r="K23" s="12"/>
    </row>
    <row r="24" ht="17" customHeight="1">
      <c r="A24" s="20">
        <v>21</v>
      </c>
      <c r="B24" s="21">
        <v>0</v>
      </c>
      <c r="C24" s="21">
        <v>1</v>
      </c>
      <c r="D24" s="21">
        <v>0</v>
      </c>
      <c r="E24" s="21">
        <v>1</v>
      </c>
      <c r="F24" s="21">
        <v>0</v>
      </c>
      <c r="G24" s="21">
        <v>0</v>
      </c>
      <c r="H24" s="21">
        <f>G24*1+F24*2+E24*4+D24*8+C24*16+B24*32</f>
        <v>20</v>
      </c>
      <c r="I24" t="s" s="22">
        <v>15</v>
      </c>
      <c r="J24" s="21"/>
      <c r="K24" s="16"/>
    </row>
    <row r="25" ht="17" customHeight="1">
      <c r="A25" s="17">
        <v>22</v>
      </c>
      <c r="B25" s="18">
        <v>0</v>
      </c>
      <c r="C25" s="18">
        <v>1</v>
      </c>
      <c r="D25" s="18">
        <v>0</v>
      </c>
      <c r="E25" s="18">
        <v>1</v>
      </c>
      <c r="F25" s="18">
        <v>0</v>
      </c>
      <c r="G25" s="18">
        <v>1</v>
      </c>
      <c r="H25" s="18">
        <f>G25*1+F25*2+E25*4+D25*8+C25*16+B25*32</f>
        <v>21</v>
      </c>
      <c r="I25" t="s" s="19">
        <v>15</v>
      </c>
      <c r="J25" s="18"/>
      <c r="K25" s="12"/>
    </row>
    <row r="26" ht="17" customHeight="1">
      <c r="A26" s="20">
        <v>23</v>
      </c>
      <c r="B26" s="21">
        <v>0</v>
      </c>
      <c r="C26" s="21">
        <v>1</v>
      </c>
      <c r="D26" s="21">
        <v>0</v>
      </c>
      <c r="E26" s="21">
        <v>1</v>
      </c>
      <c r="F26" s="21">
        <v>1</v>
      </c>
      <c r="G26" s="21">
        <v>0</v>
      </c>
      <c r="H26" s="21">
        <f>G26*1+F26*2+E26*4+D26*8+C26*16+B26*32</f>
        <v>22</v>
      </c>
      <c r="I26" t="s" s="22">
        <v>15</v>
      </c>
      <c r="J26" s="21"/>
      <c r="K26" s="16"/>
    </row>
    <row r="27" ht="17" customHeight="1">
      <c r="A27" s="17">
        <v>24</v>
      </c>
      <c r="B27" s="18">
        <v>0</v>
      </c>
      <c r="C27" s="18">
        <v>1</v>
      </c>
      <c r="D27" s="18">
        <v>0</v>
      </c>
      <c r="E27" s="18">
        <v>1</v>
      </c>
      <c r="F27" s="18">
        <v>1</v>
      </c>
      <c r="G27" s="18">
        <v>1</v>
      </c>
      <c r="H27" s="18">
        <f>G27*1+F27*2+E27*4+D27*8+C27*16+B27*32</f>
        <v>23</v>
      </c>
      <c r="I27" t="s" s="19">
        <v>15</v>
      </c>
      <c r="J27" s="18"/>
      <c r="K27" s="12"/>
    </row>
    <row r="28" ht="17" customHeight="1">
      <c r="A28" s="20">
        <v>25</v>
      </c>
      <c r="B28" s="21">
        <v>0</v>
      </c>
      <c r="C28" s="21">
        <v>1</v>
      </c>
      <c r="D28" s="21">
        <v>1</v>
      </c>
      <c r="E28" s="21">
        <v>0</v>
      </c>
      <c r="F28" s="21">
        <v>0</v>
      </c>
      <c r="G28" s="21">
        <v>0</v>
      </c>
      <c r="H28" s="21">
        <f>G28*1+F28*2+E28*4+D28*8+C28*16+B28*32</f>
        <v>24</v>
      </c>
      <c r="I28" t="s" s="22">
        <v>15</v>
      </c>
      <c r="J28" s="21"/>
      <c r="K28" s="16"/>
    </row>
    <row r="29" ht="17" customHeight="1">
      <c r="A29" s="17">
        <v>26</v>
      </c>
      <c r="B29" s="18">
        <v>0</v>
      </c>
      <c r="C29" s="18">
        <v>1</v>
      </c>
      <c r="D29" s="18">
        <v>1</v>
      </c>
      <c r="E29" s="18">
        <v>0</v>
      </c>
      <c r="F29" s="18">
        <v>0</v>
      </c>
      <c r="G29" s="18">
        <v>1</v>
      </c>
      <c r="H29" s="18">
        <f>G29*1+F29*2+E29*4+D29*8+C29*16+B29*32</f>
        <v>25</v>
      </c>
      <c r="I29" s="18"/>
      <c r="J29" s="18"/>
      <c r="K29" s="12"/>
    </row>
    <row r="30" ht="17" customHeight="1">
      <c r="A30" s="20">
        <v>27</v>
      </c>
      <c r="B30" s="21">
        <v>0</v>
      </c>
      <c r="C30" s="21">
        <v>1</v>
      </c>
      <c r="D30" s="21">
        <v>1</v>
      </c>
      <c r="E30" s="21">
        <v>0</v>
      </c>
      <c r="F30" s="21">
        <v>1</v>
      </c>
      <c r="G30" s="21">
        <v>0</v>
      </c>
      <c r="H30" s="21">
        <f>G30*1+F30*2+E30*4+D30*8+C30*16+B30*32</f>
        <v>26</v>
      </c>
      <c r="I30" s="21"/>
      <c r="J30" s="21"/>
      <c r="K30" s="16"/>
    </row>
    <row r="31" ht="17" customHeight="1">
      <c r="A31" s="17">
        <v>28</v>
      </c>
      <c r="B31" s="18">
        <v>0</v>
      </c>
      <c r="C31" s="18">
        <v>1</v>
      </c>
      <c r="D31" s="18">
        <v>1</v>
      </c>
      <c r="E31" s="18">
        <v>0</v>
      </c>
      <c r="F31" s="18">
        <v>1</v>
      </c>
      <c r="G31" s="18">
        <v>1</v>
      </c>
      <c r="H31" s="18">
        <f>G31*1+F31*2+E31*4+D31*8+C31*16+B31*32</f>
        <v>27</v>
      </c>
      <c r="I31" s="18"/>
      <c r="J31" s="18"/>
      <c r="K31" s="12"/>
    </row>
    <row r="32" ht="17" customHeight="1">
      <c r="A32" s="20">
        <v>29</v>
      </c>
      <c r="B32" s="21">
        <v>0</v>
      </c>
      <c r="C32" s="21">
        <v>1</v>
      </c>
      <c r="D32" s="21">
        <v>1</v>
      </c>
      <c r="E32" s="21">
        <v>1</v>
      </c>
      <c r="F32" s="21">
        <v>0</v>
      </c>
      <c r="G32" s="21">
        <v>0</v>
      </c>
      <c r="H32" s="21">
        <f>G32*1+F32*2+E32*4+D32*8+C32*16+B32*32</f>
        <v>28</v>
      </c>
      <c r="I32" s="21"/>
      <c r="J32" s="21"/>
      <c r="K32" s="16"/>
    </row>
    <row r="33" ht="17" customHeight="1">
      <c r="A33" s="17">
        <v>30</v>
      </c>
      <c r="B33" s="18">
        <v>0</v>
      </c>
      <c r="C33" s="18">
        <v>1</v>
      </c>
      <c r="D33" s="18">
        <v>1</v>
      </c>
      <c r="E33" s="18">
        <v>1</v>
      </c>
      <c r="F33" s="18">
        <v>0</v>
      </c>
      <c r="G33" s="18">
        <v>1</v>
      </c>
      <c r="H33" s="18">
        <f>G33*1+F33*2+E33*4+D33*8+C33*16+B33*32</f>
        <v>29</v>
      </c>
      <c r="I33" s="18"/>
      <c r="J33" s="18"/>
      <c r="K33" s="12"/>
    </row>
    <row r="34" ht="17" customHeight="1">
      <c r="A34" s="20">
        <v>31</v>
      </c>
      <c r="B34" s="21">
        <v>0</v>
      </c>
      <c r="C34" s="21">
        <v>1</v>
      </c>
      <c r="D34" s="21">
        <v>1</v>
      </c>
      <c r="E34" s="21">
        <v>1</v>
      </c>
      <c r="F34" s="21">
        <v>1</v>
      </c>
      <c r="G34" s="21">
        <v>0</v>
      </c>
      <c r="H34" s="21">
        <f>G34*1+F34*2+E34*4+D34*8+C34*16+B34*32</f>
        <v>30</v>
      </c>
      <c r="I34" s="21"/>
      <c r="J34" s="21"/>
      <c r="K34" s="16"/>
    </row>
    <row r="35" ht="17" customHeight="1">
      <c r="A35" s="23">
        <v>32</v>
      </c>
      <c r="B35" s="24">
        <v>0</v>
      </c>
      <c r="C35" s="24">
        <v>1</v>
      </c>
      <c r="D35" s="24">
        <v>1</v>
      </c>
      <c r="E35" s="24">
        <v>1</v>
      </c>
      <c r="F35" s="24">
        <v>1</v>
      </c>
      <c r="G35" s="24">
        <v>1</v>
      </c>
      <c r="H35" s="24">
        <f>G35*1+F35*2+E35*4+D35*8+C35*16+B35*32</f>
        <v>31</v>
      </c>
      <c r="I35" s="24"/>
      <c r="J35" s="24"/>
      <c r="K35" s="12"/>
    </row>
    <row r="36" ht="17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BP10"/>
  <sheetViews>
    <sheetView workbookViewId="0" showGridLines="0" defaultGridColor="1"/>
  </sheetViews>
  <sheetFormatPr defaultColWidth="10.7143" defaultRowHeight="15" customHeight="1" outlineLevelRow="0" outlineLevelCol="0"/>
  <cols>
    <col min="1" max="1" width="10.7344" style="26" customWidth="1"/>
    <col min="2" max="2" width="18.2891" style="26" customWidth="1"/>
    <col min="3" max="3" width="10.7344" style="26" customWidth="1"/>
    <col min="4" max="4" width="10.7344" style="26" customWidth="1"/>
    <col min="5" max="5" width="10.7344" style="26" customWidth="1"/>
    <col min="6" max="6" width="10.7344" style="26" customWidth="1"/>
    <col min="7" max="7" width="10.7344" style="26" customWidth="1"/>
    <col min="8" max="8" width="10.7344" style="26" customWidth="1"/>
    <col min="9" max="9" width="10.7344" style="26" customWidth="1"/>
    <col min="10" max="10" width="10.7344" style="26" customWidth="1"/>
    <col min="11" max="11" width="10.7344" style="26" customWidth="1"/>
    <col min="12" max="12" width="10.7344" style="26" customWidth="1"/>
    <col min="13" max="13" width="10.7344" style="26" customWidth="1"/>
    <col min="14" max="14" width="10.7344" style="26" customWidth="1"/>
    <col min="15" max="15" width="10.7344" style="26" customWidth="1"/>
    <col min="16" max="16" width="10.7344" style="26" customWidth="1"/>
    <col min="17" max="17" width="10.7344" style="26" customWidth="1"/>
    <col min="18" max="18" width="10.7344" style="26" customWidth="1"/>
    <col min="19" max="19" width="10.7344" style="26" customWidth="1"/>
    <col min="20" max="20" width="10.7344" style="26" customWidth="1"/>
    <col min="21" max="21" width="10.7344" style="26" customWidth="1"/>
    <col min="22" max="22" width="10.7344" style="26" customWidth="1"/>
    <col min="23" max="23" width="10.7344" style="26" customWidth="1"/>
    <col min="24" max="24" width="10.7344" style="26" customWidth="1"/>
    <col min="25" max="25" width="10.7344" style="26" customWidth="1"/>
    <col min="26" max="26" width="10.7344" style="26" customWidth="1"/>
    <col min="27" max="27" width="10.7344" style="26" customWidth="1"/>
    <col min="28" max="28" width="10.7344" style="26" customWidth="1"/>
    <col min="29" max="29" width="10.7344" style="26" customWidth="1"/>
    <col min="30" max="30" width="10.7344" style="26" customWidth="1"/>
    <col min="31" max="31" width="10.7344" style="26" customWidth="1"/>
    <col min="32" max="32" width="10.7344" style="26" customWidth="1"/>
    <col min="33" max="33" width="10.7344" style="26" customWidth="1"/>
    <col min="34" max="34" width="10.7344" style="26" customWidth="1"/>
    <col min="35" max="35" width="10.7344" style="26" customWidth="1"/>
    <col min="36" max="36" width="10.7344" style="26" customWidth="1"/>
    <col min="37" max="37" width="10.7344" style="26" customWidth="1"/>
    <col min="38" max="38" width="10.7344" style="26" customWidth="1"/>
    <col min="39" max="39" width="10.7344" style="26" customWidth="1"/>
    <col min="40" max="40" width="10.7344" style="26" customWidth="1"/>
    <col min="41" max="41" width="10.7344" style="26" customWidth="1"/>
    <col min="42" max="42" width="10.7344" style="26" customWidth="1"/>
    <col min="43" max="43" width="10.7344" style="26" customWidth="1"/>
    <col min="44" max="44" width="10.7344" style="26" customWidth="1"/>
    <col min="45" max="45" width="10.7344" style="26" customWidth="1"/>
    <col min="46" max="46" width="10.7344" style="26" customWidth="1"/>
    <col min="47" max="47" width="10.7344" style="26" customWidth="1"/>
    <col min="48" max="48" width="10.7344" style="26" customWidth="1"/>
    <col min="49" max="49" width="10.7344" style="26" customWidth="1"/>
    <col min="50" max="50" width="10.7344" style="26" customWidth="1"/>
    <col min="51" max="51" width="10.7344" style="26" customWidth="1"/>
    <col min="52" max="52" width="10.7344" style="26" customWidth="1"/>
    <col min="53" max="53" width="10.7344" style="26" customWidth="1"/>
    <col min="54" max="54" width="10.7344" style="26" customWidth="1"/>
    <col min="55" max="55" width="10.7344" style="26" customWidth="1"/>
    <col min="56" max="56" width="10.7344" style="26" customWidth="1"/>
    <col min="57" max="57" width="10.7344" style="26" customWidth="1"/>
    <col min="58" max="58" width="10.7344" style="26" customWidth="1"/>
    <col min="59" max="59" width="10.7344" style="26" customWidth="1"/>
    <col min="60" max="60" width="10.7344" style="26" customWidth="1"/>
    <col min="61" max="61" width="10.7344" style="26" customWidth="1"/>
    <col min="62" max="62" width="10.7344" style="26" customWidth="1"/>
    <col min="63" max="63" width="10.7344" style="26" customWidth="1"/>
    <col min="64" max="64" width="10.7344" style="26" customWidth="1"/>
    <col min="65" max="65" width="10.7344" style="26" customWidth="1"/>
    <col min="66" max="66" width="10.7344" style="26" customWidth="1"/>
    <col min="67" max="67" width="10.7344" style="26" customWidth="1"/>
    <col min="68" max="68" width="10.7344" style="26" customWidth="1"/>
    <col min="69" max="256" width="10.7344" style="26" customWidth="1"/>
  </cols>
  <sheetData>
    <row r="1" ht="17" customHeight="1">
      <c r="A1" s="5"/>
      <c r="B1" s="5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5"/>
    </row>
    <row r="2" ht="17" customHeight="1">
      <c r="A2" t="s" s="28">
        <v>16</v>
      </c>
      <c r="B2" s="29"/>
      <c r="C2" t="s" s="30">
        <v>17</v>
      </c>
      <c r="D2" t="s" s="30">
        <v>18</v>
      </c>
      <c r="E2" t="s" s="30">
        <v>19</v>
      </c>
      <c r="F2" t="s" s="30">
        <v>20</v>
      </c>
      <c r="G2" t="s" s="30">
        <v>21</v>
      </c>
      <c r="H2" t="s" s="30">
        <v>22</v>
      </c>
      <c r="I2" t="s" s="30">
        <v>23</v>
      </c>
      <c r="J2" t="s" s="30">
        <v>24</v>
      </c>
      <c r="K2" t="s" s="30">
        <v>25</v>
      </c>
      <c r="L2" t="s" s="30">
        <v>26</v>
      </c>
      <c r="M2" t="s" s="30">
        <v>27</v>
      </c>
      <c r="N2" t="s" s="30">
        <v>28</v>
      </c>
      <c r="O2" t="s" s="30">
        <v>29</v>
      </c>
      <c r="P2" t="s" s="30">
        <v>30</v>
      </c>
      <c r="Q2" t="s" s="30">
        <v>31</v>
      </c>
      <c r="R2" t="s" s="30">
        <v>32</v>
      </c>
      <c r="S2" t="s" s="30">
        <v>33</v>
      </c>
      <c r="T2" t="s" s="30">
        <v>34</v>
      </c>
      <c r="U2" t="s" s="30">
        <v>35</v>
      </c>
      <c r="V2" t="s" s="30">
        <v>36</v>
      </c>
      <c r="W2" t="s" s="30">
        <v>37</v>
      </c>
      <c r="X2" t="s" s="30">
        <v>38</v>
      </c>
      <c r="Y2" t="s" s="30">
        <v>39</v>
      </c>
      <c r="Z2" t="s" s="30">
        <v>40</v>
      </c>
      <c r="AA2" t="s" s="30">
        <v>41</v>
      </c>
      <c r="AB2" t="s" s="30">
        <v>42</v>
      </c>
      <c r="AC2" t="s" s="30">
        <v>43</v>
      </c>
      <c r="AD2" t="s" s="30">
        <v>44</v>
      </c>
      <c r="AE2" t="s" s="30">
        <v>45</v>
      </c>
      <c r="AF2" t="s" s="30">
        <v>46</v>
      </c>
      <c r="AG2" t="s" s="30">
        <v>47</v>
      </c>
      <c r="AH2" t="s" s="30">
        <v>48</v>
      </c>
      <c r="AI2" t="s" s="30">
        <v>49</v>
      </c>
      <c r="AJ2" t="s" s="30">
        <v>50</v>
      </c>
      <c r="AK2" t="s" s="30">
        <v>51</v>
      </c>
      <c r="AL2" t="s" s="30">
        <v>52</v>
      </c>
      <c r="AM2" t="s" s="30">
        <v>53</v>
      </c>
      <c r="AN2" t="s" s="30">
        <v>54</v>
      </c>
      <c r="AO2" t="s" s="30">
        <v>55</v>
      </c>
      <c r="AP2" t="s" s="30">
        <v>56</v>
      </c>
      <c r="AQ2" t="s" s="30">
        <v>57</v>
      </c>
      <c r="AR2" t="s" s="30">
        <v>58</v>
      </c>
      <c r="AS2" t="s" s="30">
        <v>59</v>
      </c>
      <c r="AT2" t="s" s="30">
        <v>60</v>
      </c>
      <c r="AU2" t="s" s="30">
        <v>61</v>
      </c>
      <c r="AV2" t="s" s="30">
        <v>62</v>
      </c>
      <c r="AW2" t="s" s="30">
        <v>63</v>
      </c>
      <c r="AX2" t="s" s="30">
        <v>64</v>
      </c>
      <c r="AY2" t="s" s="30">
        <v>65</v>
      </c>
      <c r="AZ2" t="s" s="30">
        <v>66</v>
      </c>
      <c r="BA2" t="s" s="30">
        <v>67</v>
      </c>
      <c r="BB2" t="s" s="30">
        <v>68</v>
      </c>
      <c r="BC2" t="s" s="30">
        <v>69</v>
      </c>
      <c r="BD2" t="s" s="30">
        <v>70</v>
      </c>
      <c r="BE2" t="s" s="30">
        <v>71</v>
      </c>
      <c r="BF2" t="s" s="30">
        <v>72</v>
      </c>
      <c r="BG2" t="s" s="30">
        <v>73</v>
      </c>
      <c r="BH2" t="s" s="30">
        <v>74</v>
      </c>
      <c r="BI2" t="s" s="30">
        <v>75</v>
      </c>
      <c r="BJ2" t="s" s="30">
        <v>76</v>
      </c>
      <c r="BK2" t="s" s="30">
        <v>77</v>
      </c>
      <c r="BL2" t="s" s="30">
        <v>78</v>
      </c>
      <c r="BM2" t="s" s="30">
        <v>79</v>
      </c>
      <c r="BN2" t="s" s="30">
        <v>80</v>
      </c>
      <c r="BO2" t="s" s="30">
        <v>81</v>
      </c>
      <c r="BP2" s="31"/>
    </row>
    <row r="3" ht="17" customHeight="1">
      <c r="A3" s="32"/>
      <c r="B3" t="s" s="33">
        <v>82</v>
      </c>
      <c r="C3" t="s" s="34">
        <v>83</v>
      </c>
      <c r="D3" t="s" s="34">
        <v>84</v>
      </c>
      <c r="E3" t="s" s="34">
        <v>85</v>
      </c>
      <c r="F3" t="s" s="34">
        <v>86</v>
      </c>
      <c r="G3" t="s" s="34">
        <v>87</v>
      </c>
      <c r="H3" t="s" s="34">
        <v>88</v>
      </c>
      <c r="I3" t="s" s="34">
        <v>89</v>
      </c>
      <c r="J3" t="s" s="34">
        <v>90</v>
      </c>
      <c r="K3" t="s" s="34">
        <v>87</v>
      </c>
      <c r="L3" t="s" s="34">
        <v>91</v>
      </c>
      <c r="M3" t="s" s="34">
        <v>83</v>
      </c>
      <c r="N3" t="s" s="34">
        <v>83</v>
      </c>
      <c r="O3" t="s" s="34">
        <v>92</v>
      </c>
      <c r="P3" t="s" s="34">
        <v>93</v>
      </c>
      <c r="Q3" t="s" s="34">
        <v>94</v>
      </c>
      <c r="R3" t="s" s="34">
        <v>95</v>
      </c>
      <c r="S3" t="s" s="34">
        <v>96</v>
      </c>
      <c r="T3" t="s" s="34">
        <v>97</v>
      </c>
      <c r="U3" t="s" s="34">
        <v>98</v>
      </c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>
        <v>0</v>
      </c>
      <c r="BP3" s="31"/>
    </row>
    <row r="4" ht="17" customHeight="1">
      <c r="A4" s="32"/>
      <c r="B4" t="s" s="33">
        <v>99</v>
      </c>
      <c r="C4" t="s" s="36">
        <v>100</v>
      </c>
      <c r="D4" t="s" s="36">
        <v>100</v>
      </c>
      <c r="E4" t="s" s="36">
        <v>101</v>
      </c>
      <c r="F4" t="s" s="36">
        <v>100</v>
      </c>
      <c r="G4" t="s" s="36">
        <v>101</v>
      </c>
      <c r="H4" t="s" s="36">
        <v>101</v>
      </c>
      <c r="I4" t="s" s="36">
        <v>101</v>
      </c>
      <c r="J4" t="s" s="36">
        <v>101</v>
      </c>
      <c r="K4" t="s" s="36">
        <v>101</v>
      </c>
      <c r="L4" t="s" s="36">
        <v>101</v>
      </c>
      <c r="M4" t="s" s="36">
        <v>101</v>
      </c>
      <c r="N4" t="s" s="36">
        <v>101</v>
      </c>
      <c r="O4" t="s" s="36">
        <v>101</v>
      </c>
      <c r="P4" t="s" s="36">
        <v>102</v>
      </c>
      <c r="Q4" t="s" s="36">
        <v>101</v>
      </c>
      <c r="R4" t="s" s="36">
        <v>102</v>
      </c>
      <c r="S4" t="s" s="36">
        <v>101</v>
      </c>
      <c r="T4" t="s" s="36">
        <v>102</v>
      </c>
      <c r="U4" t="s" s="36">
        <v>101</v>
      </c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>
        <v>0</v>
      </c>
      <c r="BP4" s="31"/>
    </row>
    <row r="5" ht="17" customHeight="1">
      <c r="A5" s="32"/>
      <c r="B5" t="s" s="33">
        <v>103</v>
      </c>
      <c r="C5" t="s" s="34">
        <v>104</v>
      </c>
      <c r="D5" t="s" s="34">
        <v>104</v>
      </c>
      <c r="E5" t="s" s="34">
        <v>104</v>
      </c>
      <c r="F5" t="s" s="34">
        <v>104</v>
      </c>
      <c r="G5" t="s" s="34">
        <v>105</v>
      </c>
      <c r="H5" t="s" s="34">
        <v>106</v>
      </c>
      <c r="I5" t="s" s="34">
        <v>106</v>
      </c>
      <c r="J5" t="s" s="34">
        <v>106</v>
      </c>
      <c r="K5" t="s" s="34">
        <v>104</v>
      </c>
      <c r="L5" t="s" s="34">
        <v>104</v>
      </c>
      <c r="M5" t="s" s="34">
        <v>104</v>
      </c>
      <c r="N5" t="s" s="34">
        <v>104</v>
      </c>
      <c r="O5" t="s" s="34">
        <v>106</v>
      </c>
      <c r="P5" t="s" s="34">
        <v>106</v>
      </c>
      <c r="Q5" t="s" s="34">
        <v>106</v>
      </c>
      <c r="R5" t="s" s="34">
        <v>106</v>
      </c>
      <c r="S5" t="s" s="34">
        <v>107</v>
      </c>
      <c r="T5" t="s" s="34">
        <v>104</v>
      </c>
      <c r="U5" t="s" s="34">
        <v>107</v>
      </c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>
        <v>0</v>
      </c>
      <c r="BP5" s="31"/>
    </row>
    <row r="6" ht="17" customHeight="1">
      <c r="A6" s="32"/>
      <c r="B6" t="s" s="33">
        <v>108</v>
      </c>
      <c r="C6" t="s" s="36">
        <v>109</v>
      </c>
      <c r="D6" t="s" s="36">
        <v>110</v>
      </c>
      <c r="E6" t="s" s="36">
        <v>110</v>
      </c>
      <c r="F6" t="s" s="36">
        <v>111</v>
      </c>
      <c r="G6" t="s" s="36">
        <v>112</v>
      </c>
      <c r="H6" t="s" s="36">
        <v>113</v>
      </c>
      <c r="I6" t="s" s="36">
        <v>114</v>
      </c>
      <c r="J6" t="s" s="36">
        <v>115</v>
      </c>
      <c r="K6" t="s" s="36">
        <v>116</v>
      </c>
      <c r="L6" t="s" s="36">
        <v>114</v>
      </c>
      <c r="M6" t="s" s="36">
        <v>111</v>
      </c>
      <c r="N6" t="s" s="36">
        <v>117</v>
      </c>
      <c r="O6" t="s" s="36">
        <v>118</v>
      </c>
      <c r="P6" t="s" s="36">
        <v>119</v>
      </c>
      <c r="Q6" t="s" s="36">
        <v>120</v>
      </c>
      <c r="R6" t="s" s="36">
        <v>121</v>
      </c>
      <c r="S6" t="s" s="36">
        <v>109</v>
      </c>
      <c r="T6" t="s" s="36">
        <v>122</v>
      </c>
      <c r="U6" t="s" s="36">
        <v>122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>
        <v>0</v>
      </c>
      <c r="BP6" s="31"/>
    </row>
    <row r="7" ht="17" customHeight="1">
      <c r="A7" s="32"/>
      <c r="B7" t="s" s="33">
        <v>123</v>
      </c>
      <c r="C7" t="s" s="34">
        <v>124</v>
      </c>
      <c r="D7" t="s" s="34">
        <v>124</v>
      </c>
      <c r="E7" t="s" s="34">
        <v>124</v>
      </c>
      <c r="F7" t="s" s="34">
        <v>124</v>
      </c>
      <c r="G7" t="s" s="34">
        <v>124</v>
      </c>
      <c r="H7" t="s" s="34">
        <v>124</v>
      </c>
      <c r="I7" t="s" s="34">
        <v>124</v>
      </c>
      <c r="J7" t="s" s="34">
        <v>124</v>
      </c>
      <c r="K7" t="s" s="34">
        <v>124</v>
      </c>
      <c r="L7" t="s" s="34">
        <v>124</v>
      </c>
      <c r="M7" t="s" s="34">
        <v>124</v>
      </c>
      <c r="N7" t="s" s="34">
        <v>124</v>
      </c>
      <c r="O7" t="s" s="34">
        <v>124</v>
      </c>
      <c r="P7" t="s" s="34">
        <v>124</v>
      </c>
      <c r="Q7" t="s" s="34">
        <v>124</v>
      </c>
      <c r="R7" t="s" s="34">
        <v>124</v>
      </c>
      <c r="S7" t="s" s="34">
        <v>124</v>
      </c>
      <c r="T7" t="s" s="34">
        <v>124</v>
      </c>
      <c r="U7" t="s" s="34">
        <v>124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>
        <v>0</v>
      </c>
      <c r="BP7" s="31"/>
    </row>
    <row r="8" ht="17" customHeight="1">
      <c r="A8" s="5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5"/>
    </row>
    <row r="9" ht="17" customHeight="1">
      <c r="A9" s="32"/>
      <c r="B9" t="s" s="40">
        <v>81</v>
      </c>
      <c r="C9" s="41">
        <f>MAX(C3:C7)</f>
        <v>0</v>
      </c>
      <c r="D9" s="42">
        <f>MAX(D3:D7)</f>
        <v>0</v>
      </c>
      <c r="E9" s="42">
        <f>MAX(E3:E7)</f>
        <v>0</v>
      </c>
      <c r="F9" s="42">
        <f>MAX(F3:F7)</f>
        <v>0</v>
      </c>
      <c r="G9" s="42">
        <f>MAX(G3:G7)</f>
        <v>0</v>
      </c>
      <c r="H9" s="42">
        <f>MAX(H3:H7)</f>
        <v>0</v>
      </c>
      <c r="I9" s="42">
        <f>MAX(I3:I7)</f>
        <v>0</v>
      </c>
      <c r="J9" s="42">
        <f>MAX(J3:J7)</f>
        <v>0</v>
      </c>
      <c r="K9" s="42">
        <f>MAX(K3:K7)</f>
        <v>0</v>
      </c>
      <c r="L9" s="42">
        <f>MAX(L3:L7)</f>
        <v>0</v>
      </c>
      <c r="M9" s="42">
        <f>MAX(M3:M7)</f>
        <v>0</v>
      </c>
      <c r="N9" s="42">
        <f>MAX(N3:N7)</f>
        <v>0</v>
      </c>
      <c r="O9" s="42">
        <f>MAX(O3:O7)</f>
        <v>0</v>
      </c>
      <c r="P9" s="42">
        <f>MAX(P3:P7)</f>
        <v>0</v>
      </c>
      <c r="Q9" s="42">
        <f>MAX(Q3:Q7)</f>
        <v>0</v>
      </c>
      <c r="R9" s="42">
        <f>MAX(R3:R7)</f>
        <v>0</v>
      </c>
      <c r="S9" s="42">
        <f>MAX(S3:S7)</f>
        <v>0</v>
      </c>
      <c r="T9" s="42">
        <f>MAX(T3:T7)</f>
        <v>0</v>
      </c>
      <c r="U9" s="42">
        <f>MAX(U3:U7)</f>
        <v>0</v>
      </c>
      <c r="V9" s="42">
        <f>MAX(V3:V7)</f>
        <v>0</v>
      </c>
      <c r="W9" s="42">
        <f>MAX(W3:W7)</f>
        <v>0</v>
      </c>
      <c r="X9" s="42">
        <f>MAX(X3:X7)</f>
        <v>0</v>
      </c>
      <c r="Y9" s="42">
        <f>MAX(Y3:Y7)</f>
        <v>0</v>
      </c>
      <c r="Z9" s="42">
        <f>MAX(Z3:Z7)</f>
        <v>0</v>
      </c>
      <c r="AA9" s="42">
        <f>MAX(AA3:AA7)</f>
        <v>0</v>
      </c>
      <c r="AB9" s="42">
        <f>MAX(AB3:AB7)</f>
        <v>0</v>
      </c>
      <c r="AC9" s="42">
        <f>MAX(AC3:AC7)</f>
        <v>0</v>
      </c>
      <c r="AD9" s="42">
        <f>MAX(AD3:AD7)</f>
        <v>0</v>
      </c>
      <c r="AE9" s="42">
        <f>MAX(AE3:AE7)</f>
        <v>0</v>
      </c>
      <c r="AF9" s="42">
        <f>MAX(AF3:AF7)</f>
        <v>0</v>
      </c>
      <c r="AG9" s="42">
        <f>MAX(AG3:AG7)</f>
        <v>0</v>
      </c>
      <c r="AH9" s="42">
        <f>MAX(AH3:AH7)</f>
        <v>0</v>
      </c>
      <c r="AI9" s="42">
        <f>MAX(AI3:AI7)</f>
        <v>0</v>
      </c>
      <c r="AJ9" s="42">
        <f>MAX(AJ3:AJ7)</f>
        <v>0</v>
      </c>
      <c r="AK9" s="42">
        <f>MAX(AK3:AK7)</f>
        <v>0</v>
      </c>
      <c r="AL9" s="42">
        <f>MAX(AL3:AL7)</f>
        <v>0</v>
      </c>
      <c r="AM9" s="42">
        <f>MAX(AM3:AM7)</f>
        <v>0</v>
      </c>
      <c r="AN9" s="42">
        <f>MAX(AN3:AN7)</f>
        <v>0</v>
      </c>
      <c r="AO9" s="42">
        <f>MAX(AO3:AO7)</f>
        <v>0</v>
      </c>
      <c r="AP9" s="42">
        <f>MAX(AP3:AP7)</f>
        <v>0</v>
      </c>
      <c r="AQ9" s="42">
        <f>MAX(AQ3:AQ7)</f>
        <v>0</v>
      </c>
      <c r="AR9" s="42">
        <f>MAX(AR3:AR7)</f>
        <v>0</v>
      </c>
      <c r="AS9" s="42">
        <f>MAX(AS3:AS7)</f>
        <v>0</v>
      </c>
      <c r="AT9" s="42">
        <f>MAX(AT3:AT7)</f>
        <v>0</v>
      </c>
      <c r="AU9" s="42">
        <f>MAX(AU3:AU7)</f>
        <v>0</v>
      </c>
      <c r="AV9" s="42">
        <f>MAX(AV3:AV7)</f>
        <v>0</v>
      </c>
      <c r="AW9" s="42">
        <f>MAX(AW3:AW7)</f>
        <v>0</v>
      </c>
      <c r="AX9" s="42">
        <f>MAX(AX3:AX7)</f>
        <v>0</v>
      </c>
      <c r="AY9" s="42">
        <f>MAX(AY3:AY7)</f>
        <v>0</v>
      </c>
      <c r="AZ9" s="42">
        <f>MAX(AZ3:AZ7)</f>
        <v>0</v>
      </c>
      <c r="BA9" s="42">
        <f>MAX(BA3:BA7)</f>
        <v>0</v>
      </c>
      <c r="BB9" s="42">
        <f>MAX(BB3:BB7)</f>
        <v>0</v>
      </c>
      <c r="BC9" s="42">
        <f>MAX(BC3:BC7)</f>
        <v>0</v>
      </c>
      <c r="BD9" s="42">
        <f>MAX(BD3:BD7)</f>
        <v>0</v>
      </c>
      <c r="BE9" s="42">
        <f>MAX(BE3:BE7)</f>
        <v>0</v>
      </c>
      <c r="BF9" s="42">
        <f>MAX(BF3:BF7)</f>
        <v>0</v>
      </c>
      <c r="BG9" s="42">
        <f>MAX(BG3:BG7)</f>
        <v>0</v>
      </c>
      <c r="BH9" s="42">
        <f>MAX(BH3:BH7)</f>
        <v>0</v>
      </c>
      <c r="BI9" s="42">
        <f>MAX(BI3:BI7)</f>
        <v>0</v>
      </c>
      <c r="BJ9" s="42">
        <f>MAX(BJ3:BJ7)</f>
        <v>0</v>
      </c>
      <c r="BK9" s="42">
        <f>MAX(BK3:BK7)</f>
        <v>0</v>
      </c>
      <c r="BL9" s="42">
        <f>MAX(BL3:BL7)</f>
        <v>0</v>
      </c>
      <c r="BM9" s="42">
        <f>MAX(BM3:BM7)</f>
        <v>0</v>
      </c>
      <c r="BN9" s="42">
        <f>MAX(BN3:BN7)</f>
        <v>0</v>
      </c>
      <c r="BO9" s="5"/>
      <c r="BP9" s="5"/>
    </row>
    <row r="10" ht="17" customHeight="1">
      <c r="A10" s="5"/>
      <c r="B10" s="43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49"/>
  <sheetViews>
    <sheetView workbookViewId="0" showGridLines="0" defaultGridColor="1"/>
  </sheetViews>
  <sheetFormatPr defaultColWidth="10.7143" defaultRowHeight="15" customHeight="1" outlineLevelRow="0" outlineLevelCol="0"/>
  <cols>
    <col min="1" max="1" width="10.7344" style="44" customWidth="1"/>
    <col min="2" max="2" width="10.7344" style="44" customWidth="1"/>
    <col min="3" max="3" width="10.7344" style="44" customWidth="1"/>
    <col min="4" max="4" width="11.7344" style="44" customWidth="1"/>
    <col min="5" max="5" width="12.5781" style="44" customWidth="1"/>
    <col min="6" max="6" width="12.5781" style="44" customWidth="1"/>
    <col min="7" max="7" width="11.2891" style="44" customWidth="1"/>
    <col min="8" max="8" width="12.8672" style="44" customWidth="1"/>
    <col min="9" max="9" width="11.5781" style="44" customWidth="1"/>
    <col min="10" max="10" width="10.7344" style="44" customWidth="1"/>
    <col min="11" max="11" width="10.7344" style="44" customWidth="1"/>
    <col min="12" max="256" width="10.7344" style="44" customWidth="1"/>
  </cols>
  <sheetData>
    <row r="1" ht="17" customHeight="1">
      <c r="A1" t="s" s="28">
        <v>5</v>
      </c>
      <c r="B1" t="s" s="28">
        <v>125</v>
      </c>
      <c r="C1" t="s" s="28">
        <v>126</v>
      </c>
      <c r="D1" t="s" s="28">
        <v>127</v>
      </c>
      <c r="E1" t="s" s="28">
        <v>128</v>
      </c>
      <c r="F1" t="s" s="28">
        <v>129</v>
      </c>
      <c r="G1" t="s" s="28">
        <v>130</v>
      </c>
      <c r="H1" t="s" s="28">
        <v>131</v>
      </c>
      <c r="I1" t="s" s="28">
        <v>132</v>
      </c>
      <c r="J1" s="5"/>
      <c r="K1" t="s" s="28">
        <v>133</v>
      </c>
    </row>
    <row r="2" ht="17" customHeight="1">
      <c r="A2" s="12">
        <v>20</v>
      </c>
      <c r="B2" s="12">
        <v>2</v>
      </c>
      <c r="C2" t="s" s="28">
        <v>134</v>
      </c>
      <c r="D2" s="45">
        <v>0.6401</v>
      </c>
      <c r="E2" s="45">
        <v>0.5512</v>
      </c>
      <c r="F2" s="12"/>
      <c r="G2" s="45">
        <v>0.7236</v>
      </c>
      <c r="H2" s="45">
        <v>0.5324</v>
      </c>
      <c r="I2" s="45">
        <v>0.5271</v>
      </c>
      <c r="J2" s="5"/>
      <c r="K2" s="45">
        <f>MAX(D2:E2,G2:I2)</f>
        <v>0.7236</v>
      </c>
    </row>
    <row r="3" ht="17" customHeight="1">
      <c r="A3" s="12">
        <v>20</v>
      </c>
      <c r="B3" s="12">
        <v>2</v>
      </c>
      <c r="C3" t="s" s="28">
        <v>135</v>
      </c>
      <c r="D3" s="45">
        <v>0.6431</v>
      </c>
      <c r="E3" s="45">
        <v>0.5505</v>
      </c>
      <c r="F3" s="12"/>
      <c r="G3" s="45">
        <v>0.7236</v>
      </c>
      <c r="H3" s="45">
        <v>0.5279</v>
      </c>
      <c r="I3" s="45">
        <v>0.5271</v>
      </c>
      <c r="J3" s="5"/>
      <c r="K3" s="45">
        <f>MAX(D3:E3,G3:I3)</f>
        <v>0.7236</v>
      </c>
    </row>
    <row r="4" ht="17" customHeight="1">
      <c r="A4" s="12">
        <v>20</v>
      </c>
      <c r="B4" s="12">
        <v>3</v>
      </c>
      <c r="C4" t="s" s="28">
        <v>134</v>
      </c>
      <c r="D4" s="45">
        <v>0.445</v>
      </c>
      <c r="E4" s="45">
        <v>0.3479</v>
      </c>
      <c r="F4" s="12"/>
      <c r="G4" s="45">
        <v>0.5233</v>
      </c>
      <c r="H4" s="45">
        <v>0.3652</v>
      </c>
      <c r="I4" s="45">
        <v>0.3396</v>
      </c>
      <c r="J4" s="5"/>
      <c r="K4" s="45">
        <f>MAX(D4:E4,G4:I4)</f>
        <v>0.5233</v>
      </c>
    </row>
    <row r="5" ht="17" customHeight="1">
      <c r="A5" s="12">
        <v>20</v>
      </c>
      <c r="B5" s="12">
        <v>3</v>
      </c>
      <c r="C5" t="s" s="28">
        <v>135</v>
      </c>
      <c r="D5" s="45">
        <v>0.4533</v>
      </c>
      <c r="E5" s="45">
        <v>0.3479</v>
      </c>
      <c r="F5" s="12"/>
      <c r="G5" s="45">
        <v>0.5264</v>
      </c>
      <c r="H5" s="45">
        <v>0.3524</v>
      </c>
      <c r="I5" s="45">
        <v>0.3396</v>
      </c>
      <c r="J5" s="5"/>
      <c r="K5" s="45">
        <f>MAX(D5:E5,G5:I5)</f>
        <v>0.5264</v>
      </c>
    </row>
    <row r="6" ht="17" customHeight="1">
      <c r="A6" s="12">
        <v>20</v>
      </c>
      <c r="B6" s="12">
        <v>4</v>
      </c>
      <c r="C6" t="s" s="28">
        <v>134</v>
      </c>
      <c r="D6" s="45">
        <v>0.3373</v>
      </c>
      <c r="E6" s="45">
        <v>0.2944</v>
      </c>
      <c r="F6" s="12"/>
      <c r="G6" s="45">
        <v>0.427</v>
      </c>
      <c r="H6" s="45">
        <v>0.2967</v>
      </c>
      <c r="I6" s="45">
        <v>0.2214</v>
      </c>
      <c r="J6" s="5"/>
      <c r="K6" s="45">
        <f>MAX(D6:E6,G6:I6)</f>
        <v>0.427</v>
      </c>
    </row>
    <row r="7" ht="17" customHeight="1">
      <c r="A7" s="12">
        <v>20</v>
      </c>
      <c r="B7" s="12">
        <v>4</v>
      </c>
      <c r="C7" t="s" s="28">
        <v>135</v>
      </c>
      <c r="D7" s="45">
        <v>0.3434</v>
      </c>
      <c r="E7" s="45">
        <v>0.2944</v>
      </c>
      <c r="F7" s="12"/>
      <c r="G7" s="45">
        <v>0.4194</v>
      </c>
      <c r="H7" s="45">
        <v>0.2922</v>
      </c>
      <c r="I7" s="45">
        <v>0.2214</v>
      </c>
      <c r="J7" s="5"/>
      <c r="K7" s="45">
        <f>MAX(D7:E7,G7:I7)</f>
        <v>0.4194</v>
      </c>
    </row>
    <row r="8" ht="17" customHeight="1">
      <c r="A8" s="12">
        <v>20</v>
      </c>
      <c r="B8" s="12">
        <v>5</v>
      </c>
      <c r="C8" t="s" s="28">
        <v>134</v>
      </c>
      <c r="D8" s="45">
        <v>0.2989</v>
      </c>
      <c r="E8" s="45">
        <v>0.2244</v>
      </c>
      <c r="F8" s="12"/>
      <c r="G8" s="45">
        <v>0.3946</v>
      </c>
      <c r="H8" s="45">
        <v>0.2108</v>
      </c>
      <c r="I8" s="45">
        <v>0.1883</v>
      </c>
      <c r="J8" s="5"/>
      <c r="K8" s="45">
        <f>MAX(D8:E8,G8:I8)</f>
        <v>0.3946</v>
      </c>
    </row>
    <row r="9" ht="17" customHeight="1">
      <c r="A9" s="12">
        <v>20</v>
      </c>
      <c r="B9" s="12">
        <v>5</v>
      </c>
      <c r="C9" t="s" s="28">
        <v>135</v>
      </c>
      <c r="D9" s="45">
        <v>0.3087</v>
      </c>
      <c r="E9" s="45">
        <v>0.2244</v>
      </c>
      <c r="F9" s="12"/>
      <c r="G9" s="45">
        <v>0.3946</v>
      </c>
      <c r="H9" s="45">
        <v>0.2327</v>
      </c>
      <c r="I9" s="45">
        <v>0.1883</v>
      </c>
      <c r="J9" s="5"/>
      <c r="K9" s="45">
        <f>MAX(D9:E9,G9:I9)</f>
        <v>0.3946</v>
      </c>
    </row>
    <row r="10" ht="17" customHeight="1">
      <c r="A10" s="12">
        <v>21</v>
      </c>
      <c r="B10" s="12">
        <v>2</v>
      </c>
      <c r="C10" t="s" s="28">
        <v>134</v>
      </c>
      <c r="D10" s="45">
        <v>0.6438</v>
      </c>
      <c r="E10" s="45">
        <v>0.5512</v>
      </c>
      <c r="F10" s="12"/>
      <c r="G10" s="45">
        <v>0.7236</v>
      </c>
      <c r="H10" s="45">
        <v>0.5384</v>
      </c>
      <c r="I10" s="45">
        <v>0.5271</v>
      </c>
      <c r="J10" s="5"/>
      <c r="K10" s="45">
        <f>MAX(D10:E10,G10:I10)</f>
        <v>0.7236</v>
      </c>
    </row>
    <row r="11" ht="17" customHeight="1">
      <c r="A11" s="12">
        <v>21</v>
      </c>
      <c r="B11" s="12">
        <v>2</v>
      </c>
      <c r="C11" t="s" s="28">
        <v>135</v>
      </c>
      <c r="D11" s="45">
        <v>0.6664</v>
      </c>
      <c r="E11" s="45">
        <v>0.5512</v>
      </c>
      <c r="F11" s="12"/>
      <c r="G11" s="45">
        <v>0.7267</v>
      </c>
      <c r="H11" s="45">
        <v>0.5316</v>
      </c>
      <c r="I11" s="45">
        <v>0.5271</v>
      </c>
      <c r="J11" s="5"/>
      <c r="K11" s="45">
        <f>MAX(D11:E11,G11:I11)</f>
        <v>0.7267</v>
      </c>
    </row>
    <row r="12" ht="17" customHeight="1">
      <c r="A12" s="12">
        <v>21</v>
      </c>
      <c r="B12" s="12">
        <v>3</v>
      </c>
      <c r="C12" t="s" s="28">
        <v>134</v>
      </c>
      <c r="D12" s="45">
        <v>0.4473</v>
      </c>
      <c r="E12" s="45">
        <v>0.3479</v>
      </c>
      <c r="F12" s="12">
        <v>3</v>
      </c>
      <c r="G12" s="45">
        <v>0.5354</v>
      </c>
      <c r="H12" s="45">
        <v>0.366</v>
      </c>
      <c r="I12" s="45">
        <v>0.3396</v>
      </c>
      <c r="J12" s="5"/>
      <c r="K12" s="45">
        <f>MAX(D12:E12,G12:I12)</f>
        <v>0.5354</v>
      </c>
    </row>
    <row r="13" ht="17" customHeight="1">
      <c r="A13" s="12">
        <v>21</v>
      </c>
      <c r="B13" s="12">
        <v>3</v>
      </c>
      <c r="C13" t="s" s="28">
        <v>135</v>
      </c>
      <c r="D13" s="45">
        <v>0.4571</v>
      </c>
      <c r="E13" s="45">
        <v>0.3471</v>
      </c>
      <c r="F13" s="12">
        <v>3</v>
      </c>
      <c r="G13" s="45">
        <v>0.5354</v>
      </c>
      <c r="H13" s="45">
        <v>0.3562</v>
      </c>
      <c r="I13" s="45">
        <v>0.3396</v>
      </c>
      <c r="J13" s="5"/>
      <c r="K13" s="45">
        <f>MAX(D13:E13,G13:I13)</f>
        <v>0.5354</v>
      </c>
    </row>
    <row r="14" ht="17" customHeight="1">
      <c r="A14" s="12">
        <v>21</v>
      </c>
      <c r="B14" s="12">
        <v>4</v>
      </c>
      <c r="C14" t="s" s="28">
        <v>134</v>
      </c>
      <c r="D14" s="45">
        <v>0.3494</v>
      </c>
      <c r="E14" s="45">
        <v>0.2952</v>
      </c>
      <c r="F14" s="12">
        <v>2</v>
      </c>
      <c r="G14" s="45">
        <v>0.4277</v>
      </c>
      <c r="H14" s="45">
        <v>0.2899</v>
      </c>
      <c r="I14" s="45">
        <v>0.2214</v>
      </c>
      <c r="J14" s="5"/>
      <c r="K14" s="45">
        <f>MAX(D14:E14,G14:I14)</f>
        <v>0.4277</v>
      </c>
    </row>
    <row r="15" ht="17" customHeight="1">
      <c r="A15" s="12">
        <v>21</v>
      </c>
      <c r="B15" s="12">
        <v>4</v>
      </c>
      <c r="C15" t="s" s="28">
        <v>135</v>
      </c>
      <c r="D15" s="45">
        <v>0.3697</v>
      </c>
      <c r="E15" s="45">
        <v>0.2952</v>
      </c>
      <c r="F15" s="12">
        <v>2</v>
      </c>
      <c r="G15" s="45">
        <v>0.4239</v>
      </c>
      <c r="H15" s="45">
        <v>0.2892</v>
      </c>
      <c r="I15" s="45">
        <v>0.2214</v>
      </c>
      <c r="J15" s="5"/>
      <c r="K15" s="45">
        <f>MAX(D15:E15,G15:I15)</f>
        <v>0.4239</v>
      </c>
    </row>
    <row r="16" ht="17" customHeight="1">
      <c r="A16" s="12">
        <v>21</v>
      </c>
      <c r="B16" s="12">
        <v>5</v>
      </c>
      <c r="C16" t="s" s="28">
        <v>134</v>
      </c>
      <c r="D16" s="45">
        <v>0.3155</v>
      </c>
      <c r="E16" s="45">
        <v>0.2244</v>
      </c>
      <c r="F16" s="12">
        <v>4</v>
      </c>
      <c r="G16" s="45">
        <v>0.3946</v>
      </c>
      <c r="H16" s="45">
        <v>0.2123</v>
      </c>
      <c r="I16" s="45">
        <v>0.1883</v>
      </c>
      <c r="J16" s="5"/>
      <c r="K16" s="45">
        <f>MAX(D16:E16,G16:I16)</f>
        <v>0.3946</v>
      </c>
    </row>
    <row r="17" ht="17" customHeight="1">
      <c r="A17" s="12">
        <v>21</v>
      </c>
      <c r="B17" s="12">
        <v>5</v>
      </c>
      <c r="C17" t="s" s="28">
        <v>135</v>
      </c>
      <c r="D17" s="45">
        <v>0.3253</v>
      </c>
      <c r="E17" s="45">
        <v>0.2244</v>
      </c>
      <c r="F17" s="12">
        <v>4</v>
      </c>
      <c r="G17" s="45">
        <v>0.3946</v>
      </c>
      <c r="H17" s="45">
        <v>0.2259</v>
      </c>
      <c r="I17" s="45">
        <v>0.1883</v>
      </c>
      <c r="J17" s="5"/>
      <c r="K17" s="45">
        <f>MAX(D17:E17,G17:I17)</f>
        <v>0.3946</v>
      </c>
    </row>
    <row r="18" ht="17" customHeight="1">
      <c r="A18" s="12">
        <v>22</v>
      </c>
      <c r="B18" s="12">
        <v>2</v>
      </c>
      <c r="C18" t="s" s="28">
        <v>134</v>
      </c>
      <c r="D18" s="45">
        <v>0.6355</v>
      </c>
      <c r="E18" s="45">
        <v>0.5512</v>
      </c>
      <c r="F18" s="12">
        <v>5</v>
      </c>
      <c r="G18" s="45">
        <v>0.7236</v>
      </c>
      <c r="H18" s="45">
        <v>0.5384</v>
      </c>
      <c r="I18" s="45">
        <v>0.5271</v>
      </c>
      <c r="J18" s="5"/>
      <c r="K18" s="45">
        <f>MAX(D18:E18,G18:I18)</f>
        <v>0.7236</v>
      </c>
    </row>
    <row r="19" ht="17" customHeight="1">
      <c r="A19" s="12">
        <v>22</v>
      </c>
      <c r="B19" s="12">
        <v>2</v>
      </c>
      <c r="C19" t="s" s="28">
        <v>135</v>
      </c>
      <c r="D19" s="45">
        <v>0.6438</v>
      </c>
      <c r="E19" s="45">
        <v>0.5512</v>
      </c>
      <c r="F19" s="12">
        <v>5</v>
      </c>
      <c r="G19" s="45">
        <v>0.7236</v>
      </c>
      <c r="H19" s="45">
        <v>0.5264</v>
      </c>
      <c r="I19" s="45">
        <v>0.5271</v>
      </c>
      <c r="J19" s="5"/>
      <c r="K19" s="45">
        <f>MAX(D19:E19,G19:I19)</f>
        <v>0.7236</v>
      </c>
    </row>
    <row r="20" ht="17" customHeight="1">
      <c r="A20" s="12">
        <v>22</v>
      </c>
      <c r="B20" s="12">
        <v>3</v>
      </c>
      <c r="C20" t="s" s="28">
        <v>134</v>
      </c>
      <c r="D20" s="45">
        <v>0.4405</v>
      </c>
      <c r="E20" s="45">
        <v>0.3479</v>
      </c>
      <c r="F20" s="12">
        <v>3</v>
      </c>
      <c r="G20" s="45">
        <v>0.5346</v>
      </c>
      <c r="H20" s="45">
        <v>0.3675</v>
      </c>
      <c r="I20" s="45">
        <v>0.3396</v>
      </c>
      <c r="J20" s="5"/>
      <c r="K20" s="45">
        <f>MAX(D20:E20,G20:I20)</f>
        <v>0.5346</v>
      </c>
    </row>
    <row r="21" ht="17" customHeight="1">
      <c r="A21" s="12">
        <v>22</v>
      </c>
      <c r="B21" s="12">
        <v>3</v>
      </c>
      <c r="C21" t="s" s="28">
        <v>135</v>
      </c>
      <c r="D21" s="45">
        <v>0.4556</v>
      </c>
      <c r="E21" s="45">
        <v>0.3471</v>
      </c>
      <c r="F21" s="12">
        <v>3</v>
      </c>
      <c r="G21" s="45">
        <v>0.5346</v>
      </c>
      <c r="H21" s="45">
        <v>0.3494</v>
      </c>
      <c r="I21" s="45">
        <v>0.3396</v>
      </c>
      <c r="J21" s="5"/>
      <c r="K21" s="45">
        <f>MAX(D21:E21,G21:I21)</f>
        <v>0.5346</v>
      </c>
    </row>
    <row r="22" ht="17" customHeight="1">
      <c r="A22" s="12">
        <v>22</v>
      </c>
      <c r="B22" s="12">
        <v>4</v>
      </c>
      <c r="C22" t="s" s="28">
        <v>134</v>
      </c>
      <c r="D22" s="45">
        <v>0.3464</v>
      </c>
      <c r="E22" s="45">
        <v>0.2944</v>
      </c>
      <c r="F22" s="12">
        <v>2</v>
      </c>
      <c r="G22" s="45">
        <v>0.4277</v>
      </c>
      <c r="H22" s="45">
        <v>0.2846</v>
      </c>
      <c r="I22" s="45">
        <v>0.2214</v>
      </c>
      <c r="J22" s="5"/>
      <c r="K22" s="45">
        <f>MAX(D22:E22,G22:I22)</f>
        <v>0.4277</v>
      </c>
    </row>
    <row r="23" ht="17" customHeight="1">
      <c r="A23" s="12">
        <v>22</v>
      </c>
      <c r="B23" s="12">
        <v>4</v>
      </c>
      <c r="C23" t="s" s="28">
        <v>135</v>
      </c>
      <c r="D23" s="45">
        <v>0.36522</v>
      </c>
      <c r="E23" s="45">
        <v>0.2952</v>
      </c>
      <c r="F23" s="12">
        <v>2</v>
      </c>
      <c r="G23" s="45">
        <v>0.4239</v>
      </c>
      <c r="H23" s="45">
        <v>0.2899</v>
      </c>
      <c r="I23" s="45">
        <v>0.2214</v>
      </c>
      <c r="J23" s="5"/>
      <c r="K23" s="45">
        <f>MAX(D23:E23,G23:I23)</f>
        <v>0.4239</v>
      </c>
    </row>
    <row r="24" ht="17" customHeight="1">
      <c r="A24" s="12">
        <v>22</v>
      </c>
      <c r="B24" s="12">
        <v>5</v>
      </c>
      <c r="C24" t="s" s="28">
        <v>134</v>
      </c>
      <c r="D24" s="45">
        <v>0.2944</v>
      </c>
      <c r="E24" s="45">
        <v>0.2244</v>
      </c>
      <c r="F24" s="12">
        <v>4</v>
      </c>
      <c r="G24" s="45">
        <v>0.3946</v>
      </c>
      <c r="H24" s="45">
        <v>0.2161</v>
      </c>
      <c r="I24" s="45">
        <v>0.1883</v>
      </c>
      <c r="J24" s="5"/>
      <c r="K24" s="45">
        <f>MAX(D24:E24,G24:I24)</f>
        <v>0.3946</v>
      </c>
    </row>
    <row r="25" ht="17" customHeight="1">
      <c r="A25" s="12">
        <v>22</v>
      </c>
      <c r="B25" s="12">
        <v>5</v>
      </c>
      <c r="C25" t="s" s="28">
        <v>135</v>
      </c>
      <c r="D25" s="45">
        <v>0.3185</v>
      </c>
      <c r="E25" s="45">
        <v>0.2244</v>
      </c>
      <c r="F25" s="12">
        <v>4</v>
      </c>
      <c r="G25" s="45">
        <v>0.3946</v>
      </c>
      <c r="H25" s="45">
        <v>0.2342</v>
      </c>
      <c r="I25" s="45">
        <v>0.1883</v>
      </c>
      <c r="J25" s="5"/>
      <c r="K25" s="45">
        <f>MAX(D25:E25,G25:I25)</f>
        <v>0.3946</v>
      </c>
    </row>
    <row r="26" ht="17" customHeight="1">
      <c r="A26" s="12">
        <v>23</v>
      </c>
      <c r="B26" s="12">
        <v>2</v>
      </c>
      <c r="C26" t="s" s="28">
        <v>134</v>
      </c>
      <c r="D26" s="45">
        <v>0.6529</v>
      </c>
      <c r="E26" s="45">
        <v>0.5512</v>
      </c>
      <c r="F26" s="12">
        <v>5</v>
      </c>
      <c r="G26" s="45">
        <v>0.7236</v>
      </c>
      <c r="H26" s="45">
        <v>0.5339</v>
      </c>
      <c r="I26" s="45">
        <v>0.5271</v>
      </c>
      <c r="J26" s="5"/>
      <c r="K26" s="45">
        <f>MAX(D26:E26,G26:I26)</f>
        <v>0.7236</v>
      </c>
    </row>
    <row r="27" ht="17" customHeight="1">
      <c r="A27" s="12">
        <v>23</v>
      </c>
      <c r="B27" s="12">
        <v>2</v>
      </c>
      <c r="C27" t="s" s="28">
        <v>135</v>
      </c>
      <c r="D27" s="45">
        <v>0.6664</v>
      </c>
      <c r="E27" s="45">
        <v>0.5505</v>
      </c>
      <c r="F27" s="12">
        <v>5</v>
      </c>
      <c r="G27" s="45">
        <v>0.7267</v>
      </c>
      <c r="H27" s="45">
        <v>0.5271</v>
      </c>
      <c r="I27" s="45">
        <v>0.5271</v>
      </c>
      <c r="J27" s="5"/>
      <c r="K27" s="45">
        <f>MAX(D27:E27,G27:I27)</f>
        <v>0.7267</v>
      </c>
    </row>
    <row r="28" ht="17" customHeight="1">
      <c r="A28" s="12">
        <v>23</v>
      </c>
      <c r="B28" s="12">
        <v>3</v>
      </c>
      <c r="C28" t="s" s="28">
        <v>134</v>
      </c>
      <c r="D28" s="45">
        <v>0.445</v>
      </c>
      <c r="E28" s="45">
        <v>0.3479</v>
      </c>
      <c r="F28" s="12">
        <v>3</v>
      </c>
      <c r="G28" s="45">
        <v>0.5354</v>
      </c>
      <c r="H28" s="45">
        <v>0.3645</v>
      </c>
      <c r="I28" s="45">
        <v>0.3396</v>
      </c>
      <c r="J28" s="5"/>
      <c r="K28" s="45">
        <f>MAX(D28:E28,G28:I28)</f>
        <v>0.5354</v>
      </c>
    </row>
    <row r="29" ht="17" customHeight="1">
      <c r="A29" s="12">
        <v>23</v>
      </c>
      <c r="B29" s="12">
        <v>3</v>
      </c>
      <c r="C29" t="s" s="28">
        <v>135</v>
      </c>
      <c r="D29" s="45">
        <v>0.448</v>
      </c>
      <c r="E29" s="45">
        <v>0.3471</v>
      </c>
      <c r="F29" s="12">
        <v>3</v>
      </c>
      <c r="G29" s="45">
        <v>0.5354</v>
      </c>
      <c r="H29" s="45">
        <v>0.3486</v>
      </c>
      <c r="I29" s="45">
        <v>0.3396</v>
      </c>
      <c r="J29" s="5"/>
      <c r="K29" s="45">
        <f>MAX(D29:E29,G29:I29)</f>
        <v>0.5354</v>
      </c>
    </row>
    <row r="30" ht="17" customHeight="1">
      <c r="A30" s="12">
        <v>23</v>
      </c>
      <c r="B30" s="12">
        <v>4</v>
      </c>
      <c r="C30" t="s" s="28">
        <v>134</v>
      </c>
      <c r="D30" s="45">
        <v>0.3509</v>
      </c>
      <c r="E30" s="45">
        <v>0.2952</v>
      </c>
      <c r="F30" s="12">
        <v>2</v>
      </c>
      <c r="G30" s="45">
        <v>0.4239</v>
      </c>
      <c r="H30" s="45">
        <v>0.2816</v>
      </c>
      <c r="I30" s="45">
        <v>0.2214</v>
      </c>
      <c r="J30" s="5"/>
      <c r="K30" s="45">
        <f>MAX(D30:E30,G30:I30)</f>
        <v>0.4239</v>
      </c>
    </row>
    <row r="31" ht="17" customHeight="1">
      <c r="A31" s="12">
        <v>23</v>
      </c>
      <c r="B31" s="12">
        <v>4</v>
      </c>
      <c r="C31" t="s" s="28">
        <v>135</v>
      </c>
      <c r="D31" s="45">
        <v>0.3517</v>
      </c>
      <c r="E31" s="45">
        <v>0.2952</v>
      </c>
      <c r="F31" s="12">
        <v>2</v>
      </c>
      <c r="G31" s="45">
        <v>0.4239</v>
      </c>
      <c r="H31" s="45">
        <v>0.2892</v>
      </c>
      <c r="I31" s="45">
        <v>0.2214</v>
      </c>
      <c r="J31" s="5"/>
      <c r="K31" s="45">
        <f>MAX(D31:E31,G31:I31)</f>
        <v>0.4239</v>
      </c>
    </row>
    <row r="32" ht="17" customHeight="1">
      <c r="A32" s="12">
        <v>23</v>
      </c>
      <c r="B32" s="12">
        <v>5</v>
      </c>
      <c r="C32" t="s" s="28">
        <v>134</v>
      </c>
      <c r="D32" s="45">
        <v>0.3351</v>
      </c>
      <c r="E32" s="45">
        <v>0.2244</v>
      </c>
      <c r="F32" s="12">
        <v>4</v>
      </c>
      <c r="G32" s="45">
        <v>0.3946</v>
      </c>
      <c r="H32" s="45">
        <v>0.2214</v>
      </c>
      <c r="I32" s="45">
        <v>0.1883</v>
      </c>
      <c r="J32" s="5"/>
      <c r="K32" s="45">
        <f>MAX(D32:E32,G32:I32)</f>
        <v>0.3946</v>
      </c>
    </row>
    <row r="33" ht="17" customHeight="1">
      <c r="A33" s="12">
        <v>23</v>
      </c>
      <c r="B33" s="12">
        <v>5</v>
      </c>
      <c r="C33" t="s" s="28">
        <v>135</v>
      </c>
      <c r="D33" s="45">
        <v>0.3289</v>
      </c>
      <c r="E33" s="45">
        <v>0.2244</v>
      </c>
      <c r="F33" s="12">
        <v>4</v>
      </c>
      <c r="G33" s="45">
        <v>0.3946</v>
      </c>
      <c r="H33" s="45">
        <v>0.2327</v>
      </c>
      <c r="I33" s="45">
        <v>0.1883</v>
      </c>
      <c r="J33" s="5"/>
      <c r="K33" s="45">
        <f>MAX(D33:E33,G33:I33)</f>
        <v>0.3946</v>
      </c>
    </row>
    <row r="34" ht="17" customHeight="1">
      <c r="A34" s="12">
        <v>24</v>
      </c>
      <c r="B34" s="12">
        <v>2</v>
      </c>
      <c r="C34" t="s" s="28">
        <v>134</v>
      </c>
      <c r="D34" s="45">
        <v>0.6408</v>
      </c>
      <c r="E34" s="45">
        <v>0.5512</v>
      </c>
      <c r="F34" s="12">
        <v>5</v>
      </c>
      <c r="G34" s="45">
        <v>0.7229000000000001</v>
      </c>
      <c r="H34" s="45">
        <v>0.5271</v>
      </c>
      <c r="I34" s="45">
        <v>0.5271</v>
      </c>
      <c r="J34" s="5"/>
      <c r="K34" s="45">
        <f>MAX(D34:E34,G34:I34)</f>
        <v>0.7229000000000001</v>
      </c>
    </row>
    <row r="35" ht="17" customHeight="1">
      <c r="A35" s="12">
        <v>24</v>
      </c>
      <c r="B35" s="12">
        <v>2</v>
      </c>
      <c r="C35" t="s" s="28">
        <v>135</v>
      </c>
      <c r="D35" s="45">
        <v>0.6401</v>
      </c>
      <c r="E35" s="45">
        <v>0.5505</v>
      </c>
      <c r="F35" s="12">
        <v>5</v>
      </c>
      <c r="G35" s="45">
        <v>0.7229000000000001</v>
      </c>
      <c r="H35" s="45">
        <v>0.5226</v>
      </c>
      <c r="I35" s="45">
        <v>0.5271</v>
      </c>
      <c r="J35" s="5"/>
      <c r="K35" s="45">
        <f>MAX(D35:E35,G35:I35)</f>
        <v>0.7229000000000001</v>
      </c>
    </row>
    <row r="36" ht="17" customHeight="1">
      <c r="A36" s="12">
        <v>24</v>
      </c>
      <c r="B36" s="12">
        <v>3</v>
      </c>
      <c r="C36" t="s" s="28">
        <v>134</v>
      </c>
      <c r="D36" s="45">
        <v>0.4398</v>
      </c>
      <c r="E36" s="45">
        <v>0.3479</v>
      </c>
      <c r="F36" s="12">
        <v>3</v>
      </c>
      <c r="G36" s="45">
        <v>0.5346</v>
      </c>
      <c r="H36" s="45">
        <v>0.3471</v>
      </c>
      <c r="I36" s="45">
        <v>0.3396</v>
      </c>
      <c r="J36" s="5"/>
      <c r="K36" s="45">
        <f>MAX(D36:E36,G36:I36)</f>
        <v>0.5346</v>
      </c>
    </row>
    <row r="37" ht="17" customHeight="1">
      <c r="A37" s="12">
        <v>24</v>
      </c>
      <c r="B37" s="12">
        <v>3</v>
      </c>
      <c r="C37" t="s" s="28">
        <v>135</v>
      </c>
      <c r="D37" s="45">
        <v>0.4623</v>
      </c>
      <c r="E37" s="45">
        <v>0.3479</v>
      </c>
      <c r="F37" s="12">
        <v>3</v>
      </c>
      <c r="G37" s="45">
        <v>0.5346</v>
      </c>
      <c r="H37" s="45">
        <v>0.3479</v>
      </c>
      <c r="I37" s="45">
        <v>0.3396</v>
      </c>
      <c r="J37" s="5"/>
      <c r="K37" s="45">
        <f>MAX(D37:E37,G37:I37)</f>
        <v>0.5346</v>
      </c>
    </row>
    <row r="38" ht="17" customHeight="1">
      <c r="A38" s="12">
        <v>24</v>
      </c>
      <c r="B38" s="12">
        <v>4</v>
      </c>
      <c r="C38" t="s" s="28">
        <v>134</v>
      </c>
      <c r="D38" s="45">
        <v>0.3524</v>
      </c>
      <c r="E38" s="45">
        <v>0.2944</v>
      </c>
      <c r="F38" s="12">
        <v>2</v>
      </c>
      <c r="G38" s="45">
        <v>0.4239</v>
      </c>
      <c r="H38" s="45">
        <v>0.2892</v>
      </c>
      <c r="I38" s="45">
        <v>0.2214</v>
      </c>
      <c r="J38" s="5"/>
      <c r="K38" s="45">
        <f>MAX(D38:E38,G38:I38)</f>
        <v>0.4239</v>
      </c>
    </row>
    <row r="39" ht="17" customHeight="1">
      <c r="A39" s="12">
        <v>24</v>
      </c>
      <c r="B39" s="12">
        <v>4</v>
      </c>
      <c r="C39" t="s" s="28">
        <v>135</v>
      </c>
      <c r="D39" s="45">
        <v>0.3584000000000001</v>
      </c>
      <c r="E39" s="45">
        <v>0.2952</v>
      </c>
      <c r="F39" s="12">
        <v>2</v>
      </c>
      <c r="G39" s="45">
        <v>0.4239</v>
      </c>
      <c r="H39" s="45">
        <v>0.3035</v>
      </c>
      <c r="I39" s="45">
        <v>0.2214</v>
      </c>
      <c r="J39" s="5"/>
      <c r="K39" s="45">
        <f>MAX(D39:E39,G39:I39)</f>
        <v>0.4239</v>
      </c>
    </row>
    <row r="40" ht="17" customHeight="1">
      <c r="A40" s="12">
        <v>24</v>
      </c>
      <c r="B40" s="12">
        <v>5</v>
      </c>
      <c r="C40" t="s" s="28">
        <v>134</v>
      </c>
      <c r="D40" s="45">
        <v>0.3117</v>
      </c>
      <c r="E40" s="45">
        <v>0.2244</v>
      </c>
      <c r="F40" s="12">
        <v>4</v>
      </c>
      <c r="G40" s="45">
        <v>0.3946</v>
      </c>
      <c r="H40" s="45">
        <v>0.2342</v>
      </c>
      <c r="I40" s="45">
        <v>0.1883</v>
      </c>
      <c r="J40" s="5"/>
      <c r="K40" s="45">
        <f>MAX(D40:E40,G40:I40)</f>
        <v>0.3946</v>
      </c>
    </row>
    <row r="41" ht="17" customHeight="1">
      <c r="A41" s="12">
        <v>24</v>
      </c>
      <c r="B41" s="12">
        <v>5</v>
      </c>
      <c r="C41" t="s" s="28">
        <v>135</v>
      </c>
      <c r="D41" s="45">
        <v>0.3117</v>
      </c>
      <c r="E41" s="45">
        <v>0.2244</v>
      </c>
      <c r="F41" s="12">
        <v>4</v>
      </c>
      <c r="G41" s="45">
        <v>0.3946</v>
      </c>
      <c r="H41" s="45">
        <v>0.2327</v>
      </c>
      <c r="I41" s="45">
        <v>0.1883</v>
      </c>
      <c r="J41" s="5"/>
      <c r="K41" s="45">
        <f>MAX(D41:E41,G41:I41)</f>
        <v>0.3946</v>
      </c>
    </row>
    <row r="42" ht="17" customHeight="1">
      <c r="A42" s="12">
        <v>25</v>
      </c>
      <c r="B42" s="12">
        <v>2</v>
      </c>
      <c r="C42" t="s" s="28">
        <v>134</v>
      </c>
      <c r="D42" s="45">
        <v>0.6453</v>
      </c>
      <c r="E42" s="45">
        <v>0.5512</v>
      </c>
      <c r="F42" s="12">
        <v>5</v>
      </c>
      <c r="G42" s="45">
        <v>0.7236</v>
      </c>
      <c r="H42" s="45">
        <v>0.5271</v>
      </c>
      <c r="I42" s="45">
        <v>0.5271</v>
      </c>
      <c r="J42" s="5"/>
      <c r="K42" s="45">
        <f>MAX(D42:E42,G42:I42)</f>
        <v>0.7236</v>
      </c>
    </row>
    <row r="43" ht="17" customHeight="1">
      <c r="A43" s="12">
        <v>25</v>
      </c>
      <c r="B43" s="12">
        <v>2</v>
      </c>
      <c r="C43" t="s" s="28">
        <v>135</v>
      </c>
      <c r="D43" s="45">
        <v>0.6498</v>
      </c>
      <c r="E43" s="45">
        <v>0.5512</v>
      </c>
      <c r="F43" s="12">
        <v>5</v>
      </c>
      <c r="G43" s="45">
        <v>0.7267</v>
      </c>
      <c r="H43" s="45">
        <v>0.5324</v>
      </c>
      <c r="I43" s="45">
        <v>0.5271</v>
      </c>
      <c r="J43" s="5"/>
      <c r="K43" s="45">
        <f>MAX(D43:E43,G43:I43)</f>
        <v>0.7267</v>
      </c>
    </row>
    <row r="44" ht="17" customHeight="1">
      <c r="A44" s="12">
        <v>25</v>
      </c>
      <c r="B44" s="12">
        <v>3</v>
      </c>
      <c r="C44" t="s" s="28">
        <v>134</v>
      </c>
      <c r="D44" s="45">
        <v>0.4443</v>
      </c>
      <c r="E44" s="45">
        <v>0.3479</v>
      </c>
      <c r="F44" s="12">
        <v>3</v>
      </c>
      <c r="G44" s="45">
        <v>0.5233</v>
      </c>
      <c r="H44" s="45">
        <v>0.3607</v>
      </c>
      <c r="I44" s="45">
        <v>0.3396</v>
      </c>
      <c r="J44" s="5"/>
      <c r="K44" s="45">
        <f>MAX(D44:E44,G44:I44)</f>
        <v>0.5233</v>
      </c>
    </row>
    <row r="45" ht="17" customHeight="1">
      <c r="A45" s="12">
        <v>25</v>
      </c>
      <c r="B45" s="12">
        <v>3</v>
      </c>
      <c r="C45" t="s" s="28">
        <v>135</v>
      </c>
      <c r="D45" s="45">
        <v>0.4608</v>
      </c>
      <c r="E45" s="45">
        <v>0.3479</v>
      </c>
      <c r="F45" s="12">
        <v>3</v>
      </c>
      <c r="G45" s="45">
        <v>0.5271</v>
      </c>
      <c r="H45" s="45">
        <v>0.3577</v>
      </c>
      <c r="I45" s="45">
        <v>0.3396</v>
      </c>
      <c r="J45" s="5"/>
      <c r="K45" s="45">
        <f>MAX(D45:E45,G45:I45)</f>
        <v>0.5271</v>
      </c>
    </row>
    <row r="46" ht="17" customHeight="1">
      <c r="A46" s="12">
        <v>25</v>
      </c>
      <c r="B46" s="12">
        <v>4</v>
      </c>
      <c r="C46" t="s" s="28">
        <v>134</v>
      </c>
      <c r="D46" s="45">
        <v>0.3622</v>
      </c>
      <c r="E46" s="45">
        <v>0.2959</v>
      </c>
      <c r="F46" s="12">
        <v>2</v>
      </c>
      <c r="G46" s="45">
        <v>0.427</v>
      </c>
      <c r="H46" s="45">
        <v>0.2989</v>
      </c>
      <c r="I46" s="45">
        <v>0.2214</v>
      </c>
      <c r="J46" s="5"/>
      <c r="K46" s="45">
        <f>MAX(D46:E46,G46:I46)</f>
        <v>0.427</v>
      </c>
    </row>
    <row r="47" ht="17" customHeight="1">
      <c r="A47" s="12">
        <v>25</v>
      </c>
      <c r="B47" s="12">
        <v>4</v>
      </c>
      <c r="C47" t="s" s="28">
        <v>135</v>
      </c>
      <c r="D47" s="45">
        <v>0.3614</v>
      </c>
      <c r="E47" s="45">
        <v>0.2959</v>
      </c>
      <c r="F47" s="12">
        <v>2</v>
      </c>
      <c r="G47" s="45">
        <v>0.4194</v>
      </c>
      <c r="H47" s="45">
        <v>0.2877</v>
      </c>
      <c r="I47" s="45">
        <v>0.2214</v>
      </c>
      <c r="J47" s="5"/>
      <c r="K47" s="45">
        <f>MAX(D47:E47,G47:I47)</f>
        <v>0.4194</v>
      </c>
    </row>
    <row r="48" ht="17" customHeight="1">
      <c r="A48" s="12">
        <v>25</v>
      </c>
      <c r="B48" s="12">
        <v>5</v>
      </c>
      <c r="C48" t="s" s="28">
        <v>134</v>
      </c>
      <c r="D48" s="45">
        <v>0.3193</v>
      </c>
      <c r="E48" s="45">
        <v>0.2244</v>
      </c>
      <c r="F48" s="12">
        <v>4</v>
      </c>
      <c r="G48" s="45">
        <v>0.3946</v>
      </c>
      <c r="H48" s="45">
        <v>0.2078</v>
      </c>
      <c r="I48" s="45">
        <v>0.1883</v>
      </c>
      <c r="J48" s="5"/>
      <c r="K48" s="45">
        <f>MAX(D48:E48,G48:I48)</f>
        <v>0.3946</v>
      </c>
    </row>
    <row r="49" ht="17" customHeight="1">
      <c r="A49" s="12">
        <v>25</v>
      </c>
      <c r="B49" s="12">
        <v>5</v>
      </c>
      <c r="C49" t="s" s="28">
        <v>135</v>
      </c>
      <c r="D49" s="45">
        <v>0.3283</v>
      </c>
      <c r="E49" s="45">
        <v>0.2244</v>
      </c>
      <c r="F49" s="12">
        <v>4</v>
      </c>
      <c r="G49" s="45">
        <v>0.3946</v>
      </c>
      <c r="H49" s="45">
        <v>0.2252</v>
      </c>
      <c r="I49" s="45">
        <v>0.1883</v>
      </c>
      <c r="J49" s="5"/>
      <c r="K49" s="45">
        <f>MAX(D49:E49,G49:I49)</f>
        <v>0.3946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29"/>
  <sheetViews>
    <sheetView workbookViewId="0" showGridLines="0" defaultGridColor="1"/>
  </sheetViews>
  <sheetFormatPr defaultColWidth="10.7143" defaultRowHeight="15.9" customHeight="1" outlineLevelRow="0" outlineLevelCol="0"/>
  <cols>
    <col min="1" max="1" width="10.7344" style="46" customWidth="1"/>
    <col min="2" max="2" width="10.7344" style="46" customWidth="1"/>
    <col min="3" max="3" width="10.7344" style="46" customWidth="1"/>
    <col min="4" max="4" width="11.7344" style="46" customWidth="1"/>
    <col min="5" max="5" width="12.5781" style="46" customWidth="1"/>
    <col min="6" max="6" width="12.5781" style="46" customWidth="1"/>
    <col min="7" max="7" width="11.2891" style="46" customWidth="1"/>
    <col min="8" max="8" width="12.8672" style="46" customWidth="1"/>
    <col min="9" max="9" width="11.5781" style="46" customWidth="1"/>
    <col min="10" max="10" width="10.7344" style="46" customWidth="1"/>
    <col min="11" max="11" width="10.7344" style="46" customWidth="1"/>
    <col min="12" max="256" width="10.7344" style="46" customWidth="1"/>
  </cols>
  <sheetData>
    <row r="1" ht="17" customHeight="1">
      <c r="A1" t="s" s="47">
        <v>5</v>
      </c>
      <c r="B1" t="s" s="47">
        <v>125</v>
      </c>
      <c r="C1" t="s" s="47">
        <v>126</v>
      </c>
      <c r="D1" t="s" s="47">
        <v>127</v>
      </c>
      <c r="E1" t="s" s="47">
        <v>128</v>
      </c>
      <c r="F1" t="s" s="47">
        <v>129</v>
      </c>
      <c r="G1" t="s" s="47">
        <v>130</v>
      </c>
      <c r="H1" t="s" s="47">
        <v>131</v>
      </c>
      <c r="I1" t="s" s="47">
        <v>132</v>
      </c>
      <c r="J1" s="48"/>
      <c r="K1" t="s" s="47">
        <v>133</v>
      </c>
    </row>
    <row r="2" ht="17" customHeight="1">
      <c r="A2" s="49">
        <v>26</v>
      </c>
      <c r="B2" s="49">
        <v>2</v>
      </c>
      <c r="C2" t="s" s="47">
        <v>134</v>
      </c>
      <c r="D2" s="50">
        <v>0.6559</v>
      </c>
      <c r="E2" s="50">
        <v>0.5512</v>
      </c>
      <c r="F2" s="49">
        <v>5</v>
      </c>
      <c r="G2" s="50">
        <v>0.7236</v>
      </c>
      <c r="H2" s="51">
        <v>0.5286</v>
      </c>
      <c r="I2" s="50">
        <v>0.5271</v>
      </c>
      <c r="J2" s="48"/>
      <c r="K2" s="51">
        <f>MAX(D2:E2,G2:I2)</f>
        <v>0.7236</v>
      </c>
    </row>
    <row r="3" ht="17" customHeight="1">
      <c r="A3" s="49">
        <v>26</v>
      </c>
      <c r="B3" s="49">
        <v>2</v>
      </c>
      <c r="C3" t="s" s="47">
        <v>135</v>
      </c>
      <c r="D3" s="51">
        <v>0.6476000000000001</v>
      </c>
      <c r="E3" s="51">
        <v>0.5512</v>
      </c>
      <c r="F3" s="49">
        <v>5</v>
      </c>
      <c r="G3" s="50">
        <v>0.7236</v>
      </c>
      <c r="H3" s="51">
        <v>0.5264</v>
      </c>
      <c r="I3" s="51">
        <v>0.5271</v>
      </c>
      <c r="J3" s="48"/>
      <c r="K3" s="51">
        <f>MAX(D3:E3,G3:I3)</f>
        <v>0.7236</v>
      </c>
    </row>
    <row r="4" ht="17" customHeight="1">
      <c r="A4" s="49">
        <v>26</v>
      </c>
      <c r="B4" s="49">
        <v>3</v>
      </c>
      <c r="C4" t="s" s="47">
        <v>134</v>
      </c>
      <c r="D4" s="51">
        <v>0.4503</v>
      </c>
      <c r="E4" s="51">
        <v>0.3479</v>
      </c>
      <c r="F4" s="49">
        <v>3</v>
      </c>
      <c r="G4" s="51">
        <v>0.5233</v>
      </c>
      <c r="H4" s="51">
        <v>0.3652</v>
      </c>
      <c r="I4" s="51">
        <v>0.3396</v>
      </c>
      <c r="J4" s="48"/>
      <c r="K4" s="51">
        <f>MAX(D4:E4,G4:I4)</f>
        <v>0.5233</v>
      </c>
    </row>
    <row r="5" ht="17" customHeight="1">
      <c r="A5" s="49">
        <v>26</v>
      </c>
      <c r="B5" s="49">
        <v>3</v>
      </c>
      <c r="C5" t="s" s="47">
        <v>135</v>
      </c>
      <c r="D5" s="51">
        <v>0.4752</v>
      </c>
      <c r="E5" s="52">
        <v>0.3479</v>
      </c>
      <c r="F5" s="49">
        <v>3</v>
      </c>
      <c r="G5" s="52">
        <v>0.5264</v>
      </c>
      <c r="H5" s="51">
        <v>0.3509</v>
      </c>
      <c r="I5" s="51">
        <v>0.3396</v>
      </c>
      <c r="J5" s="48"/>
      <c r="K5" s="51">
        <f>MAX(D5:E5,G5:I5)</f>
        <v>0.5264</v>
      </c>
    </row>
    <row r="6" ht="17" customHeight="1">
      <c r="A6" s="49">
        <v>27</v>
      </c>
      <c r="B6" s="49">
        <v>2</v>
      </c>
      <c r="C6" t="s" s="47">
        <v>134</v>
      </c>
      <c r="D6" s="51">
        <v>0.6506000000000001</v>
      </c>
      <c r="E6" s="51">
        <v>0.5512</v>
      </c>
      <c r="F6" s="49">
        <v>5</v>
      </c>
      <c r="G6" s="50">
        <v>0.7236</v>
      </c>
      <c r="H6" s="51">
        <v>0.5354</v>
      </c>
      <c r="I6" s="51">
        <v>0.5271</v>
      </c>
      <c r="J6" s="48"/>
      <c r="K6" s="51">
        <f>MAX(D6:E6,G6:I6)</f>
        <v>0.7236</v>
      </c>
    </row>
    <row r="7" ht="17" customHeight="1">
      <c r="A7" s="49">
        <v>27</v>
      </c>
      <c r="B7" s="49">
        <v>2</v>
      </c>
      <c r="C7" t="s" s="47">
        <v>135</v>
      </c>
      <c r="D7" s="51">
        <v>0.6596</v>
      </c>
      <c r="E7" s="51">
        <v>0.5512</v>
      </c>
      <c r="F7" s="49">
        <v>5</v>
      </c>
      <c r="G7" s="50">
        <v>0.7267</v>
      </c>
      <c r="H7" s="51">
        <v>0.5286</v>
      </c>
      <c r="I7" s="51">
        <v>0.5271</v>
      </c>
      <c r="J7" s="48"/>
      <c r="K7" s="51">
        <f>MAX(D7:E7,G7:I7)</f>
        <v>0.7267</v>
      </c>
    </row>
    <row r="8" ht="17" customHeight="1">
      <c r="A8" s="49">
        <v>27</v>
      </c>
      <c r="B8" s="49">
        <v>3</v>
      </c>
      <c r="C8" t="s" s="47">
        <v>134</v>
      </c>
      <c r="D8" s="51">
        <v>0.4548</v>
      </c>
      <c r="E8" s="51">
        <v>0.3479</v>
      </c>
      <c r="F8" s="49">
        <v>3</v>
      </c>
      <c r="G8" s="51">
        <v>0.5233</v>
      </c>
      <c r="H8" s="51">
        <v>0.3675</v>
      </c>
      <c r="I8" s="51">
        <v>0.3396</v>
      </c>
      <c r="J8" s="48"/>
      <c r="K8" s="51">
        <f>MAX(D8:E8,G8:I8)</f>
        <v>0.5233</v>
      </c>
    </row>
    <row r="9" ht="17" customHeight="1">
      <c r="A9" s="49">
        <v>27</v>
      </c>
      <c r="B9" s="49">
        <v>3</v>
      </c>
      <c r="C9" t="s" s="47">
        <v>135</v>
      </c>
      <c r="D9" s="51">
        <v>0.4661</v>
      </c>
      <c r="E9" s="51">
        <v>0.3471</v>
      </c>
      <c r="F9" s="49">
        <v>3</v>
      </c>
      <c r="G9" s="51">
        <v>0.5271</v>
      </c>
      <c r="H9" s="51">
        <v>0.3479</v>
      </c>
      <c r="I9" s="51">
        <v>0.3396</v>
      </c>
      <c r="J9" s="48"/>
      <c r="K9" s="51">
        <f>MAX(D9:E9,G9:I9)</f>
        <v>0.5271</v>
      </c>
    </row>
    <row r="10" ht="17" customHeight="1">
      <c r="A10" s="49">
        <v>28</v>
      </c>
      <c r="B10" s="49">
        <v>2</v>
      </c>
      <c r="C10" t="s" s="47">
        <v>134</v>
      </c>
      <c r="D10" s="51">
        <v>0.6461</v>
      </c>
      <c r="E10" s="51">
        <v>0.5512</v>
      </c>
      <c r="F10" s="49">
        <v>5</v>
      </c>
      <c r="G10" s="51">
        <v>0.7236</v>
      </c>
      <c r="H10" s="51">
        <v>0.5377000000000001</v>
      </c>
      <c r="I10" s="51">
        <v>0.5271</v>
      </c>
      <c r="J10" s="48"/>
      <c r="K10" s="51">
        <f>MAX(D10:E10,G10:I10)</f>
        <v>0.7236</v>
      </c>
    </row>
    <row r="11" ht="17" customHeight="1">
      <c r="A11" s="49">
        <v>28</v>
      </c>
      <c r="B11" s="49">
        <v>2</v>
      </c>
      <c r="C11" t="s" s="47">
        <v>135</v>
      </c>
      <c r="D11" s="51">
        <v>0.6423000000000001</v>
      </c>
      <c r="E11" s="51">
        <v>0.5512</v>
      </c>
      <c r="F11" s="49">
        <v>5</v>
      </c>
      <c r="G11" s="51">
        <v>0.7236</v>
      </c>
      <c r="H11" s="51">
        <v>0.5256000000000001</v>
      </c>
      <c r="I11" s="51">
        <v>0.5271</v>
      </c>
      <c r="J11" s="48"/>
      <c r="K11" s="51">
        <f>MAX(D11:E11,G11:I11)</f>
        <v>0.7236</v>
      </c>
    </row>
    <row r="12" ht="17" customHeight="1">
      <c r="A12" s="49">
        <v>28</v>
      </c>
      <c r="B12" s="49">
        <v>3</v>
      </c>
      <c r="C12" t="s" s="47">
        <v>134</v>
      </c>
      <c r="D12" s="51">
        <v>0.4488</v>
      </c>
      <c r="E12" s="51">
        <v>0.3479</v>
      </c>
      <c r="F12" s="49">
        <v>3</v>
      </c>
      <c r="G12" s="51">
        <v>0.5233</v>
      </c>
      <c r="H12" s="51">
        <v>0.3645</v>
      </c>
      <c r="I12" s="51">
        <v>0.3396</v>
      </c>
      <c r="J12" s="48"/>
      <c r="K12" s="51">
        <f>MAX(D12:E12,G12:I12)</f>
        <v>0.5233</v>
      </c>
    </row>
    <row r="13" ht="17" customHeight="1">
      <c r="A13" s="49">
        <v>28</v>
      </c>
      <c r="B13" s="49">
        <v>3</v>
      </c>
      <c r="C13" t="s" s="47">
        <v>135</v>
      </c>
      <c r="D13" s="51">
        <v>0.4797</v>
      </c>
      <c r="E13" s="51">
        <v>0.3479</v>
      </c>
      <c r="F13" s="49">
        <v>3</v>
      </c>
      <c r="G13" s="51">
        <v>0.5264</v>
      </c>
      <c r="H13" s="51">
        <v>0.3502</v>
      </c>
      <c r="I13" s="51">
        <v>0.3396</v>
      </c>
      <c r="J13" s="48"/>
      <c r="K13" s="51">
        <f>MAX(D13:E13,G13:I13)</f>
        <v>0.5264</v>
      </c>
    </row>
    <row r="14" ht="17" customHeight="1">
      <c r="A14" s="49">
        <v>29</v>
      </c>
      <c r="B14" s="49">
        <v>2</v>
      </c>
      <c r="C14" t="s" s="47">
        <v>134</v>
      </c>
      <c r="D14" s="51">
        <v>0.6596</v>
      </c>
      <c r="E14" s="51">
        <v>0.5512</v>
      </c>
      <c r="F14" s="49">
        <v>5</v>
      </c>
      <c r="G14" s="51">
        <v>0.7236</v>
      </c>
      <c r="H14" s="51">
        <v>0.5354</v>
      </c>
      <c r="I14" s="51">
        <v>0.5271</v>
      </c>
      <c r="J14" s="48"/>
      <c r="K14" s="51">
        <f>MAX(D14:E14,G14:I14)</f>
        <v>0.7236</v>
      </c>
    </row>
    <row r="15" ht="17" customHeight="1">
      <c r="A15" s="49">
        <v>29</v>
      </c>
      <c r="B15" s="49">
        <v>2</v>
      </c>
      <c r="C15" t="s" s="47">
        <v>135</v>
      </c>
      <c r="D15" s="51">
        <v>0.6687000000000001</v>
      </c>
      <c r="E15" s="51">
        <v>0.5512</v>
      </c>
      <c r="F15" s="49">
        <v>5</v>
      </c>
      <c r="G15" s="51">
        <v>0.7267</v>
      </c>
      <c r="H15" s="51">
        <v>0.5271</v>
      </c>
      <c r="I15" s="51">
        <v>0.5271</v>
      </c>
      <c r="J15" s="48"/>
      <c r="K15" s="51">
        <f>MAX(D15:E15,G15:I15)</f>
        <v>0.7267</v>
      </c>
    </row>
    <row r="16" ht="17" customHeight="1">
      <c r="A16" s="49">
        <v>29</v>
      </c>
      <c r="B16" s="49">
        <v>3</v>
      </c>
      <c r="C16" t="s" s="47">
        <v>134</v>
      </c>
      <c r="D16" s="51">
        <v>0.4443</v>
      </c>
      <c r="E16" s="51">
        <v>0.3479</v>
      </c>
      <c r="F16" s="49">
        <v>3</v>
      </c>
      <c r="G16" s="51">
        <v>0.5354</v>
      </c>
      <c r="H16" s="51">
        <v>0.3645</v>
      </c>
      <c r="I16" s="51">
        <v>0.3396</v>
      </c>
      <c r="J16" s="48"/>
      <c r="K16" s="51">
        <f>MAX(D16:E16,G16:I16)</f>
        <v>0.5354</v>
      </c>
    </row>
    <row r="17" ht="17" customHeight="1">
      <c r="A17" s="49">
        <v>29</v>
      </c>
      <c r="B17" s="49">
        <v>3</v>
      </c>
      <c r="C17" t="s" s="47">
        <v>135</v>
      </c>
      <c r="D17" s="51">
        <v>0.4744</v>
      </c>
      <c r="E17" s="51">
        <v>0.3479</v>
      </c>
      <c r="F17" s="49">
        <v>3</v>
      </c>
      <c r="G17" s="51">
        <v>0.5354</v>
      </c>
      <c r="H17" s="51">
        <v>0.3471</v>
      </c>
      <c r="I17" s="51">
        <v>0.3396</v>
      </c>
      <c r="J17" s="48"/>
      <c r="K17" s="51">
        <f>MAX(D17:E17,G17:I17)</f>
        <v>0.5354</v>
      </c>
    </row>
    <row r="18" ht="17" customHeight="1">
      <c r="A18" s="49">
        <v>30</v>
      </c>
      <c r="B18" s="49">
        <v>2</v>
      </c>
      <c r="C18" t="s" s="47">
        <v>134</v>
      </c>
      <c r="D18" s="51">
        <v>0.6618999999999999</v>
      </c>
      <c r="E18" s="51">
        <v>0.5505</v>
      </c>
      <c r="F18" s="49">
        <v>5</v>
      </c>
      <c r="G18" s="51">
        <v>0.7236</v>
      </c>
      <c r="H18" s="51">
        <v>0.5264</v>
      </c>
      <c r="I18" s="51">
        <v>0.5271</v>
      </c>
      <c r="J18" s="48"/>
      <c r="K18" s="51">
        <f>MAX(D18:E18,G18:I18)</f>
        <v>0.7236</v>
      </c>
    </row>
    <row r="19" ht="17" customHeight="1">
      <c r="A19" s="49">
        <v>30</v>
      </c>
      <c r="B19" s="49">
        <v>2</v>
      </c>
      <c r="C19" t="s" s="47">
        <v>135</v>
      </c>
      <c r="D19" s="51">
        <v>0.6589</v>
      </c>
      <c r="E19" s="51">
        <v>0.5505</v>
      </c>
      <c r="F19" s="49">
        <v>5</v>
      </c>
      <c r="G19" s="51">
        <v>0.7236</v>
      </c>
      <c r="H19" s="51">
        <v>0.5218</v>
      </c>
      <c r="I19" s="51">
        <v>0.5271</v>
      </c>
      <c r="J19" s="48"/>
      <c r="K19" s="51">
        <f>MAX(D19:E19,G19:I19)</f>
        <v>0.7236</v>
      </c>
    </row>
    <row r="20" ht="17" customHeight="1">
      <c r="A20" s="49">
        <v>30</v>
      </c>
      <c r="B20" s="49">
        <v>3</v>
      </c>
      <c r="C20" t="s" s="47">
        <v>134</v>
      </c>
      <c r="D20" s="51">
        <v>0.4571</v>
      </c>
      <c r="E20" s="51">
        <v>0.3479</v>
      </c>
      <c r="F20" s="49">
        <v>3</v>
      </c>
      <c r="G20" s="51">
        <v>0.5346</v>
      </c>
      <c r="H20" s="51">
        <v>0.3502</v>
      </c>
      <c r="I20" s="51">
        <v>0.3396</v>
      </c>
      <c r="J20" s="48"/>
      <c r="K20" s="51">
        <f>MAX(D20:E20,G20:I20)</f>
        <v>0.5346</v>
      </c>
    </row>
    <row r="21" ht="17" customHeight="1">
      <c r="A21" s="49">
        <v>30</v>
      </c>
      <c r="B21" s="49">
        <v>3</v>
      </c>
      <c r="C21" t="s" s="47">
        <v>135</v>
      </c>
      <c r="D21" s="51">
        <v>0.4608</v>
      </c>
      <c r="E21" s="51">
        <v>0.3479</v>
      </c>
      <c r="F21" s="49">
        <v>3</v>
      </c>
      <c r="G21" s="51">
        <v>0.5346</v>
      </c>
      <c r="H21" s="51">
        <v>0.3464</v>
      </c>
      <c r="I21" s="51">
        <v>0.3396</v>
      </c>
      <c r="J21" s="48"/>
      <c r="K21" s="51">
        <f>MAX(D21:E21,G21:I21)</f>
        <v>0.5346</v>
      </c>
    </row>
    <row r="22" ht="17" customHeight="1">
      <c r="A22" s="49">
        <v>31</v>
      </c>
      <c r="B22" s="49">
        <v>2</v>
      </c>
      <c r="C22" t="s" s="47">
        <v>134</v>
      </c>
      <c r="D22" s="51">
        <v>0.6694</v>
      </c>
      <c r="E22" s="51">
        <v>0.5512</v>
      </c>
      <c r="F22" s="49">
        <v>5</v>
      </c>
      <c r="G22" s="51">
        <v>0.7236</v>
      </c>
      <c r="H22" s="51">
        <v>0.5256000000000001</v>
      </c>
      <c r="I22" s="51">
        <v>0.5271</v>
      </c>
      <c r="J22" s="48"/>
      <c r="K22" s="51">
        <f>MAX(D22:E22,G22:I22)</f>
        <v>0.7236</v>
      </c>
    </row>
    <row r="23" ht="17" customHeight="1">
      <c r="A23" s="49">
        <v>31</v>
      </c>
      <c r="B23" s="49">
        <v>2</v>
      </c>
      <c r="C23" t="s" s="47">
        <v>135</v>
      </c>
      <c r="D23" s="51">
        <v>0.6747</v>
      </c>
      <c r="E23" s="51">
        <v>0.5512</v>
      </c>
      <c r="F23" s="49">
        <v>5</v>
      </c>
      <c r="G23" s="51">
        <v>0.7267</v>
      </c>
      <c r="H23" s="51">
        <v>0.5241</v>
      </c>
      <c r="I23" s="51">
        <v>0.5271</v>
      </c>
      <c r="J23" s="48"/>
      <c r="K23" s="51">
        <f>MAX(D23:E23,G23:I23)</f>
        <v>0.7267</v>
      </c>
    </row>
    <row r="24" ht="17" customHeight="1">
      <c r="A24" s="49">
        <v>31</v>
      </c>
      <c r="B24" s="49">
        <v>3</v>
      </c>
      <c r="C24" t="s" s="47">
        <v>134</v>
      </c>
      <c r="D24" s="51">
        <v>0.4669</v>
      </c>
      <c r="E24" s="51">
        <v>0.3479</v>
      </c>
      <c r="F24" s="49">
        <v>3</v>
      </c>
      <c r="G24" s="51">
        <v>0.5354</v>
      </c>
      <c r="H24" s="51">
        <v>0.3479</v>
      </c>
      <c r="I24" s="51">
        <v>0.3396</v>
      </c>
      <c r="J24" s="48"/>
      <c r="K24" s="51">
        <f>MAX(D24:E24,G24:I24)</f>
        <v>0.5354</v>
      </c>
    </row>
    <row r="25" ht="17" customHeight="1">
      <c r="A25" s="49">
        <v>31</v>
      </c>
      <c r="B25" s="49">
        <v>3</v>
      </c>
      <c r="C25" t="s" s="47">
        <v>135</v>
      </c>
      <c r="D25" s="51">
        <v>0.4819</v>
      </c>
      <c r="E25" s="51">
        <v>0.3479</v>
      </c>
      <c r="F25" s="49">
        <v>3</v>
      </c>
      <c r="G25" s="51">
        <v>0.5354</v>
      </c>
      <c r="H25" s="51">
        <v>0.3426</v>
      </c>
      <c r="I25" s="51">
        <v>0.3396</v>
      </c>
      <c r="J25" s="48"/>
      <c r="K25" s="51">
        <f>MAX(D25:E25,G25:I25)</f>
        <v>0.5354</v>
      </c>
    </row>
    <row r="26" ht="17" customHeight="1">
      <c r="A26" s="49">
        <v>32</v>
      </c>
      <c r="B26" s="49">
        <v>2</v>
      </c>
      <c r="C26" t="s" s="47">
        <v>134</v>
      </c>
      <c r="D26" s="51">
        <v>0.6731999999999999</v>
      </c>
      <c r="E26" s="51">
        <v>0.5512</v>
      </c>
      <c r="F26" s="49">
        <v>5</v>
      </c>
      <c r="G26" s="51">
        <v>0.7236</v>
      </c>
      <c r="H26" s="51">
        <v>0.5226</v>
      </c>
      <c r="I26" s="51">
        <v>0.5271</v>
      </c>
      <c r="J26" s="48"/>
      <c r="K26" s="51">
        <f>MAX(D26:E26,G26:I26)</f>
        <v>0.7236</v>
      </c>
    </row>
    <row r="27" ht="17" customHeight="1">
      <c r="A27" s="49">
        <v>32</v>
      </c>
      <c r="B27" s="49">
        <v>2</v>
      </c>
      <c r="C27" t="s" s="47">
        <v>135</v>
      </c>
      <c r="D27" s="51">
        <v>0.6731999999999999</v>
      </c>
      <c r="E27" s="51">
        <v>0.5512</v>
      </c>
      <c r="F27" s="49">
        <v>5</v>
      </c>
      <c r="G27" s="51">
        <v>0.7236</v>
      </c>
      <c r="H27" s="51">
        <v>0.5226</v>
      </c>
      <c r="I27" s="51">
        <v>0.5271</v>
      </c>
      <c r="J27" s="48"/>
      <c r="K27" s="51">
        <f>MAX(D27:E27,G27:I27)</f>
        <v>0.7236</v>
      </c>
    </row>
    <row r="28" ht="17" customHeight="1">
      <c r="A28" s="49">
        <v>32</v>
      </c>
      <c r="B28" s="49">
        <v>3</v>
      </c>
      <c r="C28" t="s" s="47">
        <v>134</v>
      </c>
      <c r="D28" s="51">
        <v>0.4827</v>
      </c>
      <c r="E28" s="51">
        <v>0.3479</v>
      </c>
      <c r="F28" s="49">
        <v>3</v>
      </c>
      <c r="G28" s="51">
        <v>0.5346</v>
      </c>
      <c r="H28" s="51">
        <v>0.3517</v>
      </c>
      <c r="I28" s="51">
        <v>0.3396</v>
      </c>
      <c r="J28" s="48"/>
      <c r="K28" s="51">
        <f>MAX(D28:E28,G28:I28)</f>
        <v>0.5346</v>
      </c>
    </row>
    <row r="29" ht="17" customHeight="1">
      <c r="A29" s="49">
        <v>32</v>
      </c>
      <c r="B29" s="49">
        <v>3</v>
      </c>
      <c r="C29" t="s" s="47">
        <v>135</v>
      </c>
      <c r="D29" s="51">
        <v>0.4827</v>
      </c>
      <c r="E29" s="51">
        <v>0.3479</v>
      </c>
      <c r="F29" s="49">
        <v>3</v>
      </c>
      <c r="G29" s="51">
        <v>0.5346</v>
      </c>
      <c r="H29" s="51">
        <v>0.3517</v>
      </c>
      <c r="I29" s="51">
        <v>0.3396</v>
      </c>
      <c r="J29" s="48"/>
      <c r="K29" s="51">
        <f>MAX(D29:E29,G29:I29)</f>
        <v>0.5346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